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30" yWindow="0" windowWidth="15480" windowHeight="11640" activeTab="5"/>
  </bookViews>
  <sheets>
    <sheet name="MOXFQ CALC" sheetId="6" r:id="rId1"/>
    <sheet name="VAS" sheetId="2" state="hidden" r:id="rId2"/>
    <sheet name="TTO" sheetId="3" state="hidden" r:id="rId3"/>
    <sheet name="notes" sheetId="1" state="hidden" r:id="rId4"/>
    <sheet name="Charts" sheetId="5" state="hidden" r:id="rId5"/>
    <sheet name="AOS  COFAS" sheetId="7" r:id="rId6"/>
    <sheet name="AOFAS" sheetId="8" r:id="rId7"/>
    <sheet name="SAFAS" sheetId="9" r:id="rId8"/>
    <sheet name="VISA-A" sheetId="11" r:id="rId9"/>
    <sheet name="ATRS" sheetId="10" r:id="rId10"/>
  </sheets>
  <definedNames>
    <definedName name="Table">#REF!</definedName>
  </definedNames>
  <calcPr calcId="145621"/>
</workbook>
</file>

<file path=xl/calcChain.xml><?xml version="1.0" encoding="utf-8"?>
<calcChain xmlns="http://schemas.openxmlformats.org/spreadsheetml/2006/main">
  <c r="F19" i="7" l="1"/>
  <c r="G19" i="7" s="1"/>
  <c r="F17" i="7"/>
  <c r="G17" i="7" s="1"/>
  <c r="F16" i="7"/>
  <c r="G16" i="7" s="1"/>
  <c r="F13" i="7"/>
  <c r="G13" i="7" s="1"/>
  <c r="F11" i="7"/>
  <c r="G11" i="7" s="1"/>
  <c r="F6" i="7"/>
  <c r="G6" i="7" s="1"/>
  <c r="F3" i="7"/>
  <c r="G3" i="7" s="1"/>
  <c r="F2" i="7"/>
  <c r="G2" i="7" s="1"/>
  <c r="G21" i="7" l="1"/>
  <c r="C11" i="11"/>
  <c r="C10" i="11"/>
  <c r="C8" i="11"/>
  <c r="C2" i="8"/>
  <c r="B12" i="10"/>
  <c r="C12" i="11" l="1"/>
  <c r="C11" i="9"/>
  <c r="G13" i="9" s="1"/>
  <c r="C25" i="9"/>
  <c r="D25" i="9" s="1"/>
  <c r="H14" i="9" s="1"/>
  <c r="H13" i="9"/>
  <c r="C34" i="9"/>
  <c r="I13" i="9" s="1"/>
  <c r="C47" i="9"/>
  <c r="J13" i="9" s="1"/>
  <c r="B11" i="9"/>
  <c r="G12" i="9" s="1"/>
  <c r="B25" i="9"/>
  <c r="H12" i="9" s="1"/>
  <c r="B34" i="9"/>
  <c r="I12" i="9" s="1"/>
  <c r="B47" i="9"/>
  <c r="J12" i="9" s="1"/>
  <c r="C3" i="8"/>
  <c r="C4" i="8"/>
  <c r="C5" i="8"/>
  <c r="C6" i="8"/>
  <c r="C20" i="7"/>
  <c r="D20" i="7"/>
  <c r="E18" i="6"/>
  <c r="D18" i="6"/>
  <c r="C18" i="6"/>
  <c r="F46" i="3"/>
  <c r="F47" i="3"/>
  <c r="F48" i="3"/>
  <c r="F49" i="3"/>
  <c r="F50" i="3"/>
  <c r="F37" i="3"/>
  <c r="F38" i="3"/>
  <c r="F39" i="3"/>
  <c r="F40" i="3"/>
  <c r="F41" i="3"/>
  <c r="F30" i="3"/>
  <c r="F31" i="3"/>
  <c r="F32" i="3"/>
  <c r="F33" i="3"/>
  <c r="F34" i="3"/>
  <c r="B27" i="3"/>
  <c r="C22" i="2"/>
  <c r="G22" i="2"/>
  <c r="D22" i="2"/>
  <c r="J22" i="2"/>
  <c r="I22" i="2"/>
  <c r="H22" i="2"/>
  <c r="F22" i="2"/>
  <c r="E22" i="2"/>
  <c r="B22" i="2"/>
  <c r="I27" i="3"/>
  <c r="G27" i="3"/>
  <c r="F27" i="3"/>
  <c r="E27" i="3"/>
  <c r="D27" i="3"/>
  <c r="C27" i="3"/>
  <c r="E31" i="1"/>
  <c r="E30" i="1"/>
  <c r="E29" i="1"/>
  <c r="E28" i="1"/>
  <c r="E27" i="1"/>
  <c r="C6" i="1"/>
  <c r="D6" i="1"/>
  <c r="C8" i="1"/>
  <c r="D8" i="1"/>
  <c r="C9" i="1"/>
  <c r="D9" i="1"/>
  <c r="C11" i="1"/>
  <c r="D11" i="1"/>
  <c r="C12" i="1"/>
  <c r="D12" i="1"/>
  <c r="C14" i="1"/>
  <c r="D14" i="1"/>
  <c r="C15" i="1"/>
  <c r="D15" i="1"/>
  <c r="C17" i="1"/>
  <c r="D17" i="1"/>
  <c r="C18" i="1"/>
  <c r="D18" i="1"/>
  <c r="C20" i="1"/>
  <c r="D20" i="1"/>
  <c r="C21" i="1"/>
  <c r="D21" i="1"/>
  <c r="D5" i="1"/>
  <c r="C5" i="1"/>
  <c r="D47" i="9" l="1"/>
  <c r="J14" i="9" s="1"/>
  <c r="G29" i="3"/>
  <c r="D34" i="9"/>
  <c r="I14" i="9" s="1"/>
  <c r="K12" i="9"/>
  <c r="K13" i="9"/>
  <c r="K15" i="9" s="1"/>
  <c r="B21" i="7"/>
  <c r="B19" i="6"/>
  <c r="F51" i="3"/>
  <c r="G45" i="3" s="1"/>
  <c r="G36" i="3"/>
  <c r="G43" i="3" s="1"/>
  <c r="D11" i="9"/>
  <c r="G14" i="9" s="1"/>
  <c r="H27" i="3" l="1"/>
</calcChain>
</file>

<file path=xl/comments1.xml><?xml version="1.0" encoding="utf-8"?>
<comments xmlns="http://schemas.openxmlformats.org/spreadsheetml/2006/main">
  <authors>
    <author>Kingman Angela (RTF) NHCT</author>
    <author>Anji Kingman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Kingman Angela (RTF) NHCT:</t>
        </r>
        <r>
          <rPr>
            <sz val="9"/>
            <color indexed="81"/>
            <rFont val="Tahoma"/>
            <family val="2"/>
          </rPr>
          <t xml:space="preserve">
10 / 10 IS SHOWN AS "1"</t>
        </r>
      </text>
    </comment>
    <comment ref="K13" authorId="1">
      <text>
        <r>
          <rPr>
            <b/>
            <sz val="9"/>
            <color indexed="81"/>
            <rFont val="Tahoma"/>
            <family val="2"/>
          </rPr>
          <t>Anji Kingman:</t>
        </r>
        <r>
          <rPr>
            <sz val="9"/>
            <color indexed="81"/>
            <rFont val="Tahoma"/>
            <family val="2"/>
          </rPr>
          <t xml:space="preserve">
MAX POSSIBLE = 168</t>
        </r>
      </text>
    </comment>
    <comment ref="F14" authorId="0">
      <text>
        <r>
          <rPr>
            <b/>
            <sz val="9"/>
            <color indexed="81"/>
            <rFont val="Tahoma"/>
            <family val="2"/>
          </rPr>
          <t>Kingman Angela (RTF) NHCT:</t>
        </r>
        <r>
          <rPr>
            <sz val="9"/>
            <color indexed="81"/>
            <rFont val="Tahoma"/>
            <family val="2"/>
          </rPr>
          <t xml:space="preserve">
10/10 IS SHOWN AS "1"</t>
        </r>
      </text>
    </comment>
    <comment ref="F15" authorId="1">
      <text>
        <r>
          <rPr>
            <b/>
            <sz val="9"/>
            <color indexed="81"/>
            <rFont val="Tahoma"/>
            <family val="2"/>
          </rPr>
          <t>Anji Kingman:</t>
        </r>
        <r>
          <rPr>
            <sz val="9"/>
            <color indexed="81"/>
            <rFont val="Tahoma"/>
            <family val="2"/>
          </rPr>
          <t xml:space="preserve">
100/100 IS SHOWN AS "1"</t>
        </r>
      </text>
    </comment>
  </commentList>
</comments>
</file>

<file path=xl/sharedStrings.xml><?xml version="1.0" encoding="utf-8"?>
<sst xmlns="http://schemas.openxmlformats.org/spreadsheetml/2006/main" count="305" uniqueCount="182">
  <si>
    <t>Full health (11111)</t>
  </si>
  <si>
    <t>At least one 2 or 3 (constant)</t>
  </si>
  <si>
    <t>At least one 3 (N3)</t>
  </si>
  <si>
    <t>Mobility = 2</t>
  </si>
  <si>
    <t>Mobility = 3</t>
  </si>
  <si>
    <t>Self care = 2</t>
  </si>
  <si>
    <t>Self care = 3</t>
  </si>
  <si>
    <t>Usual activities = 2</t>
  </si>
  <si>
    <t>Usual activities = 3</t>
  </si>
  <si>
    <t>Pain/discomfort = 2</t>
  </si>
  <si>
    <t>Pain/discomfort = 3</t>
  </si>
  <si>
    <t>Anxiety/depression = 2</t>
  </si>
  <si>
    <t>Anxiety/depression = 3</t>
  </si>
  <si>
    <t>Europe</t>
  </si>
  <si>
    <t>raw</t>
  </si>
  <si>
    <t>resc mean dead</t>
  </si>
  <si>
    <t>resc median dead</t>
  </si>
  <si>
    <t>Germany (1998)</t>
  </si>
  <si>
    <t>dimension</t>
  </si>
  <si>
    <t>level 1</t>
  </si>
  <si>
    <t>level 2</t>
  </si>
  <si>
    <t>level 3</t>
  </si>
  <si>
    <t>MO</t>
  </si>
  <si>
    <t>SC</t>
  </si>
  <si>
    <t>UA</t>
  </si>
  <si>
    <t>PD</t>
  </si>
  <si>
    <t>AD</t>
  </si>
  <si>
    <t>in the model when a dimension is at level 3, you have to multiply by both level 2 and level 3. The adjusted level 3 values have incorporated this.</t>
  </si>
  <si>
    <t>adjusted level 3</t>
  </si>
  <si>
    <t>Belgium</t>
  </si>
  <si>
    <t>Denmark</t>
  </si>
  <si>
    <t>Finland</t>
  </si>
  <si>
    <t>Germany</t>
  </si>
  <si>
    <t>New Zealand</t>
  </si>
  <si>
    <t>-</t>
  </si>
  <si>
    <t>Slovenia</t>
  </si>
  <si>
    <t>Spain</t>
  </si>
  <si>
    <t>UK</t>
  </si>
  <si>
    <t>VAS value sets</t>
  </si>
  <si>
    <t>Japan</t>
  </si>
  <si>
    <t>Zimbabwe</t>
  </si>
  <si>
    <t>TTO value sets</t>
  </si>
  <si>
    <t>D1</t>
  </si>
  <si>
    <t>I2-square</t>
  </si>
  <si>
    <t>I3</t>
  </si>
  <si>
    <t>I3-square</t>
  </si>
  <si>
    <t xml:space="preserve">Germany </t>
  </si>
  <si>
    <t>multiplicative</t>
  </si>
  <si>
    <t>D1 crieteria</t>
  </si>
  <si>
    <t>I3 criteria</t>
  </si>
  <si>
    <t>I3 square</t>
  </si>
  <si>
    <t>I2 square</t>
  </si>
  <si>
    <t>Netherlands</t>
  </si>
  <si>
    <t>USA</t>
  </si>
  <si>
    <t>Not available</t>
  </si>
  <si>
    <t>Figure 2: Value of selected EQ-5D health states based on TTO surveys</t>
  </si>
  <si>
    <t>Figure 3: Value of selected EQ-5D health states based on VAS surveys</t>
  </si>
  <si>
    <t>Denmark-TTO</t>
  </si>
  <si>
    <t>Spain-TTO</t>
  </si>
  <si>
    <t>UK-TTO</t>
  </si>
  <si>
    <t>Denmark-VAS</t>
  </si>
  <si>
    <t>Spain-VAS</t>
  </si>
  <si>
    <t>UK-VAS</t>
  </si>
  <si>
    <t>Figure 4: Value of selected EQ-5D health states based on TTO and VAS surveys</t>
  </si>
  <si>
    <t>QUESTION</t>
  </si>
  <si>
    <t>RESPONSE</t>
  </si>
  <si>
    <t>WALKING/STANDING</t>
  </si>
  <si>
    <t>PAIN</t>
  </si>
  <si>
    <t>SOCIAL INTERACTION</t>
  </si>
  <si>
    <t>SCORE</t>
  </si>
  <si>
    <t>AVERAGE</t>
  </si>
  <si>
    <t>PAIN SCORE</t>
  </si>
  <si>
    <t>DIFFICULTY SCORE</t>
  </si>
  <si>
    <t>TOTAL AOS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</si>
  <si>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</si>
  <si>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</si>
  <si>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</si>
  <si>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</si>
  <si>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</si>
  <si>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</si>
  <si>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</si>
  <si>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</si>
  <si>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</si>
  <si>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D2</t>
  </si>
  <si>
    <t>D3</t>
  </si>
  <si>
    <t>D4</t>
  </si>
  <si>
    <t>D5</t>
  </si>
  <si>
    <t>D6</t>
  </si>
  <si>
    <t>D7</t>
  </si>
  <si>
    <t>D8</t>
  </si>
  <si>
    <t>D9</t>
  </si>
  <si>
    <t>IF CELL IS BLANK</t>
  </si>
  <si>
    <t>CHANGE FORMULA TO</t>
  </si>
  <si>
    <t>DIVIDE BY</t>
  </si>
  <si>
    <t>NUMBER OF FILLED</t>
  </si>
  <si>
    <t>CELLS ONLY</t>
  </si>
  <si>
    <t>(ALL = /9)</t>
  </si>
  <si>
    <t>F1</t>
  </si>
  <si>
    <t>F2</t>
  </si>
  <si>
    <t>F3</t>
  </si>
  <si>
    <t>P1 RESPONSE</t>
  </si>
  <si>
    <t>P1 SCORE</t>
  </si>
  <si>
    <t>F1 RESPONSE</t>
  </si>
  <si>
    <t>F1 SCORE</t>
  </si>
  <si>
    <t>F2 RESPONSE</t>
  </si>
  <si>
    <t>F2 SCORE</t>
  </si>
  <si>
    <t>F3 RESPONSE</t>
  </si>
  <si>
    <t>F3 SCORE</t>
  </si>
  <si>
    <t>TOTAL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</si>
  <si>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</si>
  <si>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</si>
  <si>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</si>
  <si>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</si>
  <si>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</si>
  <si>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</si>
  <si>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</si>
  <si>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</si>
  <si>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</si>
  <si>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</si>
  <si>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</si>
  <si>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</si>
  <si>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P10</t>
  </si>
  <si>
    <t>P11</t>
  </si>
  <si>
    <t>P12</t>
  </si>
  <si>
    <t>P13</t>
  </si>
  <si>
    <t>DL1</t>
  </si>
  <si>
    <t>DL2</t>
  </si>
  <si>
    <t>DL3</t>
  </si>
  <si>
    <t>DL4</t>
  </si>
  <si>
    <t>DL5</t>
  </si>
  <si>
    <t>DL6</t>
  </si>
  <si>
    <t>DL7</t>
  </si>
  <si>
    <t>DL8</t>
  </si>
  <si>
    <t>SCORE OUT OF MAX</t>
  </si>
  <si>
    <t>OUT OF 100</t>
  </si>
  <si>
    <t>SYMPTOMS</t>
  </si>
  <si>
    <t>DAILY LIVING</t>
  </si>
  <si>
    <t>SPORTS</t>
  </si>
  <si>
    <t>AVERAGE SCORE</t>
  </si>
  <si>
    <t>TOTAL SCORE</t>
  </si>
  <si>
    <t>0 = WORST</t>
  </si>
  <si>
    <t>10 = BEST</t>
  </si>
  <si>
    <t>NOT AT ALL</t>
  </si>
  <si>
    <t>Q7  SCORE</t>
  </si>
  <si>
    <t>MODIFIED TRAINING</t>
  </si>
  <si>
    <t>FULL TRAINING</t>
  </si>
  <si>
    <t>SAME OR HIGHER LEVEL</t>
  </si>
  <si>
    <t>Q7 RESPONSE</t>
  </si>
  <si>
    <t>Q7  OPTIONS</t>
  </si>
  <si>
    <t>1=BEST</t>
  </si>
  <si>
    <t>4=WORST</t>
  </si>
  <si>
    <t>8A</t>
  </si>
  <si>
    <t>8B</t>
  </si>
  <si>
    <t>8C</t>
  </si>
  <si>
    <t>Q8 RESPONSE</t>
  </si>
  <si>
    <t>Q8 SCORE</t>
  </si>
  <si>
    <t>A NIL</t>
  </si>
  <si>
    <t>A 11-20</t>
  </si>
  <si>
    <t>A 1-10</t>
  </si>
  <si>
    <t>A 21-30</t>
  </si>
  <si>
    <t>A &gt;30</t>
  </si>
  <si>
    <t>B NIL</t>
  </si>
  <si>
    <t>B 1-10</t>
  </si>
  <si>
    <t>B 11-20</t>
  </si>
  <si>
    <t>B 21-30</t>
  </si>
  <si>
    <t>B &gt;30</t>
  </si>
  <si>
    <t>C NIL</t>
  </si>
  <si>
    <t>C 1-10</t>
  </si>
  <si>
    <t>C 11-20</t>
  </si>
  <si>
    <t>C 21-30</t>
  </si>
  <si>
    <t>C &gt;30</t>
  </si>
  <si>
    <t>Q8A OPTIONS</t>
  </si>
  <si>
    <t>Q8B OPTIONS</t>
  </si>
  <si>
    <t>Q8C OPTIONS</t>
  </si>
  <si>
    <t>TOTAL COFAS</t>
  </si>
  <si>
    <t>AOS:</t>
  </si>
  <si>
    <t>COFAS:</t>
  </si>
  <si>
    <t>ALL 8 QUESTIONS MUST HAVE RESPONSE</t>
  </si>
  <si>
    <t>COFAS RESPONSE</t>
  </si>
  <si>
    <t>SCORE OUT OF 10</t>
  </si>
  <si>
    <t>OUT OF 10</t>
  </si>
  <si>
    <t>TOTAL SCORE OUT OF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</si>
</sst>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#\ ??/100"/>
    <numFmt numFmtId="167" formatCode="#\ ?/10"/>
  </numFmts>
  <fonts count="29" x14ac:knownFonts="1">
    <font>
      <sz val="10"/>
      <name val="Arial"/>
    </font>
    <font>
      <sz val="12"/>
      <name val="Times New Roman"/>
      <family val="1"/>
    </font>
    <font>
      <sz val="4"/>
      <name val="Times New Roman"/>
      <family val="1"/>
    </font>
    <font>
      <sz val="10"/>
      <name val="Arial"/>
      <family val="2"/>
    </font>
    <font>
      <sz val="4"/>
      <name val="Arial"/>
      <family val="2"/>
    </font>
    <font>
      <sz val="8"/>
      <name val="Arial"/>
      <family val="2"/>
    </font>
    <font>
      <b/>
      <sz val="12"/>
      <name val="Times New Roman"/>
      <family val="1"/>
    </font>
    <font>
      <b/>
      <sz val="10"/>
      <name val="Arial"/>
      <family val="2"/>
    </font>
    <font>
      <sz val="12"/>
      <name val="Symbol"/>
      <family val="1"/>
      <charset val="2"/>
    </font>
    <font>
      <sz val="4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"/>
      <family val="2"/>
    </font>
    <font>
      <b/>
      <sz val="10"/>
      <color rgb="FF7030A0"/>
      <name val="Arial"/>
      <family val="2"/>
    </font>
    <font>
      <b/>
      <sz val="10"/>
      <color rgb="FF00B0F0"/>
      <name val="Arial"/>
      <family val="2"/>
    </font>
    <font>
      <b/>
      <sz val="10"/>
      <color theme="6" tint="-0.249977111117893"/>
      <name val="Arial"/>
      <family val="2"/>
    </font>
    <font>
      <b/>
      <sz val="10"/>
      <color theme="9" tint="-0.499984740745262"/>
      <name val="Arial"/>
      <family val="2"/>
    </font>
    <font>
      <b/>
      <sz val="10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i/>
      <sz val="10"/>
      <color theme="3" tint="0.39997558519241921"/>
      <name val="Arial"/>
      <family val="2"/>
    </font>
    <font>
      <sz val="10"/>
      <color theme="3" tint="0.7999816888943144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CD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2" fontId="2" fillId="0" borderId="0" xfId="0" applyNumberFormat="1" applyFont="1" applyBorder="1" applyAlignment="1">
      <alignment horizontal="center" vertical="top"/>
    </xf>
    <xf numFmtId="2" fontId="1" fillId="0" borderId="0" xfId="0" applyNumberFormat="1" applyFont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3" fillId="0" borderId="0" xfId="0" applyFont="1" applyBorder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/>
    <xf numFmtId="165" fontId="1" fillId="0" borderId="0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6" fillId="0" borderId="0" xfId="0" applyFont="1" applyBorder="1"/>
    <xf numFmtId="0" fontId="3" fillId="0" borderId="0" xfId="0" applyFont="1" applyBorder="1" applyAlignment="1"/>
    <xf numFmtId="0" fontId="7" fillId="0" borderId="0" xfId="0" applyFont="1" applyBorder="1" applyAlignment="1"/>
    <xf numFmtId="0" fontId="1" fillId="0" borderId="0" xfId="0" applyFont="1" applyAlignment="1">
      <alignment horizontal="justify" vertical="top"/>
    </xf>
    <xf numFmtId="165" fontId="1" fillId="0" borderId="0" xfId="0" applyNumberFormat="1" applyFont="1" applyAlignment="1"/>
    <xf numFmtId="165" fontId="1" fillId="0" borderId="0" xfId="0" applyNumberFormat="1" applyFont="1" applyAlignment="1">
      <alignment horizontal="justify" vertical="top"/>
    </xf>
    <xf numFmtId="0" fontId="6" fillId="0" borderId="0" xfId="0" applyFont="1" applyBorder="1" applyAlignment="1"/>
    <xf numFmtId="0" fontId="1" fillId="0" borderId="0" xfId="0" applyFont="1"/>
    <xf numFmtId="0" fontId="2" fillId="0" borderId="0" xfId="0" applyFont="1"/>
    <xf numFmtId="0" fontId="1" fillId="0" borderId="0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0" borderId="0" xfId="0" applyFont="1"/>
    <xf numFmtId="0" fontId="6" fillId="0" borderId="0" xfId="0" applyFont="1" applyBorder="1" applyAlignment="1">
      <alignment horizontal="center"/>
    </xf>
    <xf numFmtId="0" fontId="9" fillId="0" borderId="0" xfId="0" applyFont="1" applyAlignment="1"/>
    <xf numFmtId="0" fontId="9" fillId="0" borderId="0" xfId="0" applyFont="1"/>
    <xf numFmtId="0" fontId="1" fillId="0" borderId="1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164" fontId="1" fillId="0" borderId="0" xfId="0" applyNumberFormat="1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9" fillId="0" borderId="0" xfId="0" applyFont="1" applyBorder="1"/>
    <xf numFmtId="0" fontId="1" fillId="0" borderId="7" xfId="0" applyFont="1" applyBorder="1" applyAlignment="1">
      <alignment vertical="top" wrapText="1"/>
    </xf>
    <xf numFmtId="0" fontId="1" fillId="0" borderId="8" xfId="0" applyFont="1" applyBorder="1" applyAlignment="1">
      <alignment horizontal="center" vertical="top" wrapText="1"/>
    </xf>
    <xf numFmtId="0" fontId="0" fillId="0" borderId="8" xfId="0" applyBorder="1"/>
    <xf numFmtId="0" fontId="8" fillId="0" borderId="4" xfId="0" applyFont="1" applyBorder="1" applyAlignment="1">
      <alignment horizontal="center" vertical="top" wrapText="1"/>
    </xf>
    <xf numFmtId="165" fontId="1" fillId="0" borderId="4" xfId="0" applyNumberFormat="1" applyFont="1" applyBorder="1" applyAlignment="1">
      <alignment horizontal="center" vertical="top" wrapText="1"/>
    </xf>
    <xf numFmtId="165" fontId="1" fillId="0" borderId="0" xfId="0" applyNumberFormat="1" applyFont="1" applyBorder="1" applyAlignment="1">
      <alignment horizontal="center" vertical="top" wrapText="1"/>
    </xf>
    <xf numFmtId="165" fontId="1" fillId="0" borderId="0" xfId="0" applyNumberFormat="1" applyFont="1" applyBorder="1" applyAlignment="1">
      <alignment horizontal="center" wrapText="1"/>
    </xf>
    <xf numFmtId="165" fontId="2" fillId="0" borderId="0" xfId="0" applyNumberFormat="1" applyFont="1" applyBorder="1" applyAlignment="1">
      <alignment horizontal="center" wrapText="1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 wrapText="1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left" indent="3"/>
    </xf>
    <xf numFmtId="0" fontId="6" fillId="0" borderId="0" xfId="0" applyFont="1" applyFill="1" applyBorder="1" applyAlignment="1">
      <alignment horizontal="center"/>
    </xf>
    <xf numFmtId="0" fontId="1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 vertical="top" wrapText="1"/>
    </xf>
    <xf numFmtId="0" fontId="1" fillId="0" borderId="12" xfId="0" applyFont="1" applyBorder="1" applyAlignment="1">
      <alignment horizontal="center" vertical="top" wrapText="1"/>
    </xf>
    <xf numFmtId="0" fontId="8" fillId="0" borderId="12" xfId="0" applyFont="1" applyBorder="1" applyAlignment="1">
      <alignment horizontal="center" vertical="top" wrapText="1"/>
    </xf>
    <xf numFmtId="0" fontId="7" fillId="0" borderId="0" xfId="0" applyFont="1"/>
    <xf numFmtId="0" fontId="1" fillId="0" borderId="13" xfId="0" applyFont="1" applyBorder="1" applyAlignment="1">
      <alignment horizontal="center" vertical="top" wrapText="1"/>
    </xf>
    <xf numFmtId="0" fontId="9" fillId="0" borderId="13" xfId="0" applyFont="1" applyBorder="1" applyAlignment="1"/>
    <xf numFmtId="0" fontId="1" fillId="0" borderId="13" xfId="0" applyFont="1" applyBorder="1" applyAlignment="1">
      <alignment vertical="top" wrapText="1"/>
    </xf>
    <xf numFmtId="0" fontId="1" fillId="0" borderId="13" xfId="0" applyFont="1" applyBorder="1" applyAlignment="1"/>
    <xf numFmtId="164" fontId="0" fillId="0" borderId="0" xfId="0" applyNumberFormat="1"/>
    <xf numFmtId="0" fontId="1" fillId="0" borderId="0" xfId="0" applyFont="1" applyFill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 vertical="top" wrapText="1"/>
    </xf>
    <xf numFmtId="164" fontId="1" fillId="0" borderId="14" xfId="0" applyNumberFormat="1" applyFont="1" applyBorder="1" applyAlignment="1">
      <alignment horizontal="center"/>
    </xf>
    <xf numFmtId="0" fontId="10" fillId="0" borderId="0" xfId="0" applyFont="1"/>
    <xf numFmtId="1" fontId="10" fillId="0" borderId="0" xfId="0" applyNumberFormat="1" applyFont="1"/>
    <xf numFmtId="0" fontId="11" fillId="0" borderId="0" xfId="0" applyFont="1"/>
    <xf numFmtId="1" fontId="11" fillId="0" borderId="0" xfId="0" applyNumberFormat="1" applyFont="1"/>
    <xf numFmtId="1" fontId="7" fillId="0" borderId="0" xfId="0" applyNumberFormat="1" applyFont="1"/>
    <xf numFmtId="1" fontId="0" fillId="0" borderId="0" xfId="0" applyNumberFormat="1"/>
    <xf numFmtId="0" fontId="12" fillId="0" borderId="0" xfId="0" applyFont="1"/>
    <xf numFmtId="0" fontId="13" fillId="0" borderId="0" xfId="0" applyFont="1"/>
    <xf numFmtId="0" fontId="3" fillId="0" borderId="0" xfId="0" applyFont="1"/>
    <xf numFmtId="0" fontId="14" fillId="0" borderId="0" xfId="0" applyFont="1"/>
    <xf numFmtId="0" fontId="15" fillId="0" borderId="0" xfId="0" applyFont="1"/>
    <xf numFmtId="0" fontId="7" fillId="2" borderId="10" xfId="0" applyFont="1" applyFill="1" applyBorder="1"/>
    <xf numFmtId="0" fontId="0" fillId="2" borderId="10" xfId="0" applyFill="1" applyBorder="1"/>
    <xf numFmtId="0" fontId="14" fillId="2" borderId="10" xfId="0" applyFont="1" applyFill="1" applyBorder="1"/>
    <xf numFmtId="0" fontId="16" fillId="2" borderId="10" xfId="0" applyFont="1" applyFill="1" applyBorder="1"/>
    <xf numFmtId="0" fontId="19" fillId="0" borderId="0" xfId="0" applyFont="1"/>
    <xf numFmtId="0" fontId="20" fillId="0" borderId="0" xfId="0" applyFont="1"/>
    <xf numFmtId="0" fontId="0" fillId="3" borderId="0" xfId="0" applyFill="1"/>
    <xf numFmtId="0" fontId="20" fillId="3" borderId="0" xfId="0" applyFont="1" applyFill="1"/>
    <xf numFmtId="0" fontId="0" fillId="0" borderId="0" xfId="0" applyFill="1"/>
    <xf numFmtId="0" fontId="0" fillId="4" borderId="0" xfId="0" applyFill="1"/>
    <xf numFmtId="0" fontId="3" fillId="4" borderId="0" xfId="0" applyFont="1" applyFill="1"/>
    <xf numFmtId="0" fontId="10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3" fillId="5" borderId="0" xfId="0" applyFont="1" applyFill="1" applyAlignment="1">
      <alignment horizontal="left"/>
    </xf>
    <xf numFmtId="0" fontId="0" fillId="5" borderId="0" xfId="0" applyFill="1"/>
    <xf numFmtId="0" fontId="3" fillId="6" borderId="0" xfId="0" applyFont="1" applyFill="1" applyAlignment="1">
      <alignment horizontal="left"/>
    </xf>
    <xf numFmtId="0" fontId="0" fillId="6" borderId="0" xfId="0" applyFill="1"/>
    <xf numFmtId="0" fontId="3" fillId="6" borderId="0" xfId="0" applyFont="1" applyFill="1"/>
    <xf numFmtId="0" fontId="7" fillId="4" borderId="0" xfId="0" applyFont="1" applyFill="1"/>
    <xf numFmtId="0" fontId="7" fillId="6" borderId="0" xfId="0" applyFont="1" applyFill="1"/>
    <xf numFmtId="0" fontId="3" fillId="4" borderId="0" xfId="0" applyFont="1" applyFill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3" fillId="0" borderId="0" xfId="0" applyFont="1" applyFill="1"/>
    <xf numFmtId="0" fontId="7" fillId="5" borderId="0" xfId="0" applyFont="1" applyFill="1"/>
    <xf numFmtId="0" fontId="3" fillId="5" borderId="0" xfId="0" applyFont="1" applyFill="1"/>
    <xf numFmtId="0" fontId="0" fillId="5" borderId="0" xfId="0" applyFill="1" applyAlignment="1">
      <alignment horizontal="left"/>
    </xf>
    <xf numFmtId="0" fontId="7" fillId="7" borderId="0" xfId="0" applyFont="1" applyFill="1"/>
    <xf numFmtId="0" fontId="3" fillId="7" borderId="0" xfId="0" applyFont="1" applyFill="1"/>
    <xf numFmtId="0" fontId="0" fillId="7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/>
    <xf numFmtId="0" fontId="21" fillId="7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3" fillId="6" borderId="0" xfId="0" applyFont="1" applyFill="1" applyAlignment="1">
      <alignment horizontal="left"/>
    </xf>
    <xf numFmtId="0" fontId="24" fillId="4" borderId="0" xfId="0" applyFont="1" applyFill="1" applyAlignment="1">
      <alignment horizontal="left"/>
    </xf>
    <xf numFmtId="0" fontId="14" fillId="0" borderId="0" xfId="0" applyFont="1" applyAlignment="1">
      <alignment horizontal="left"/>
    </xf>
    <xf numFmtId="0" fontId="25" fillId="0" borderId="0" xfId="0" applyFont="1"/>
    <xf numFmtId="0" fontId="26" fillId="0" borderId="0" xfId="0" applyFont="1"/>
    <xf numFmtId="0" fontId="27" fillId="0" borderId="0" xfId="0" applyFont="1"/>
    <xf numFmtId="1" fontId="7" fillId="4" borderId="0" xfId="0" applyNumberFormat="1" applyFont="1" applyFill="1"/>
    <xf numFmtId="0" fontId="25" fillId="6" borderId="0" xfId="0" applyFont="1" applyFill="1"/>
    <xf numFmtId="1" fontId="28" fillId="0" borderId="0" xfId="0" applyNumberFormat="1" applyFont="1"/>
    <xf numFmtId="0" fontId="28" fillId="0" borderId="0" xfId="0" applyFont="1"/>
    <xf numFmtId="167" fontId="7" fillId="0" borderId="0" xfId="0" applyNumberFormat="1" applyFont="1"/>
    <xf numFmtId="167" fontId="0" fillId="0" borderId="0" xfId="0" applyNumberFormat="1"/>
    <xf numFmtId="167" fontId="15" fillId="0" borderId="0" xfId="0" applyNumberFormat="1" applyFont="1"/>
    <xf numFmtId="0" fontId="0" fillId="2" borderId="0" xfId="0" applyFill="1"/>
    <xf numFmtId="0" fontId="7" fillId="2" borderId="15" xfId="0" applyFont="1" applyFill="1" applyBorder="1"/>
    <xf numFmtId="167" fontId="0" fillId="2" borderId="15" xfId="0" applyNumberFormat="1" applyFill="1" applyBorder="1"/>
    <xf numFmtId="0" fontId="7" fillId="2" borderId="16" xfId="0" applyFont="1" applyFill="1" applyBorder="1"/>
    <xf numFmtId="0" fontId="0" fillId="2" borderId="17" xfId="0" applyFill="1" applyBorder="1"/>
    <xf numFmtId="166" fontId="16" fillId="2" borderId="18" xfId="0" applyNumberFormat="1" applyFont="1" applyFill="1" applyBorder="1"/>
    <xf numFmtId="1" fontId="25" fillId="6" borderId="0" xfId="0" applyNumberFormat="1" applyFont="1" applyFill="1"/>
    <xf numFmtId="0" fontId="3" fillId="0" borderId="0" xfId="0" applyFont="1" applyBorder="1" applyAlignment="1">
      <alignment horizontal="left" wrapText="1"/>
    </xf>
  </cellXfs>
  <cellStyles count="1">
    <cellStyle name="Normal" xfId="0" builtinId="0"/>
  </cellStyles>
  <dxfs count="20">
    <dxf>
      <fill>
        <patternFill patternType="solid">
          <fgColor indexed="64"/>
          <bgColor rgb="FFF8FCD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8FCD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8FCD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7030A0"/>
        <name val="Arial"/>
        <scheme val="none"/>
      </font>
      <fill>
        <patternFill patternType="solid">
          <fgColor indexed="64"/>
          <bgColor rgb="FFF8FCD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Arial"/>
        <scheme val="none"/>
      </font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Arial"/>
        <scheme val="none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colors>
    <mruColors>
      <color rgb="FFF8FCD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48192771084337"/>
          <c:y val="8.2018927444794956E-2"/>
          <c:w val="0.66781411359724607"/>
          <c:h val="0.76340694006309151"/>
        </c:manualLayout>
      </c:layout>
      <c:lineChart>
        <c:grouping val="standard"/>
        <c:varyColors val="0"/>
        <c:ser>
          <c:idx val="0"/>
          <c:order val="0"/>
          <c:tx>
            <c:strRef>
              <c:f>Charts!$C$4</c:f>
              <c:strCache>
                <c:ptCount val="1"/>
                <c:pt idx="0">
                  <c:v>Denmark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Charts!$C$5:$C$17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0.83299999999999996</c:v>
                </c:pt>
                <c:pt idx="2">
                  <c:v>0.82299999999999995</c:v>
                </c:pt>
                <c:pt idx="3">
                  <c:v>0.83799999999999997</c:v>
                </c:pt>
                <c:pt idx="4">
                  <c:v>0.82400000000000007</c:v>
                </c:pt>
                <c:pt idx="5">
                  <c:v>0.81800000000000006</c:v>
                </c:pt>
                <c:pt idx="6">
                  <c:v>0.75600000000000001</c:v>
                </c:pt>
                <c:pt idx="7">
                  <c:v>0.3209999999999999</c:v>
                </c:pt>
                <c:pt idx="8">
                  <c:v>0.36400000000000005</c:v>
                </c:pt>
                <c:pt idx="9">
                  <c:v>0.19700000000000006</c:v>
                </c:pt>
                <c:pt idx="10">
                  <c:v>-4.1000000000000036E-2</c:v>
                </c:pt>
                <c:pt idx="11">
                  <c:v>7.7000000000000041E-2</c:v>
                </c:pt>
                <c:pt idx="12">
                  <c:v>-0.624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Charts!$D$4</c:f>
              <c:strCache>
                <c:ptCount val="1"/>
                <c:pt idx="0">
                  <c:v>Germany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Charts!$D$5:$D$17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0.9</c:v>
                </c:pt>
                <c:pt idx="2">
                  <c:v>0.91200000000000003</c:v>
                </c:pt>
                <c:pt idx="3">
                  <c:v>0.999</c:v>
                </c:pt>
                <c:pt idx="4">
                  <c:v>0.88700000000000001</c:v>
                </c:pt>
                <c:pt idx="5">
                  <c:v>0.999</c:v>
                </c:pt>
                <c:pt idx="6">
                  <c:v>0.88700000000000001</c:v>
                </c:pt>
                <c:pt idx="7">
                  <c:v>0.26199999999999996</c:v>
                </c:pt>
                <c:pt idx="8">
                  <c:v>0.26</c:v>
                </c:pt>
                <c:pt idx="9">
                  <c:v>0.313</c:v>
                </c:pt>
                <c:pt idx="10">
                  <c:v>0.11</c:v>
                </c:pt>
                <c:pt idx="11">
                  <c:v>6.0999999999999929E-2</c:v>
                </c:pt>
                <c:pt idx="12">
                  <c:v>-0.20700000000000007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Charts!$E$4</c:f>
              <c:strCache>
                <c:ptCount val="1"/>
                <c:pt idx="0">
                  <c:v>Japan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Charts!$E$5:$E$17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0.77300000000000002</c:v>
                </c:pt>
                <c:pt idx="2">
                  <c:v>0.79399999999999993</c:v>
                </c:pt>
                <c:pt idx="3">
                  <c:v>0.80399999999999994</c:v>
                </c:pt>
                <c:pt idx="4">
                  <c:v>0.76800000000000002</c:v>
                </c:pt>
                <c:pt idx="5">
                  <c:v>0.78500000000000003</c:v>
                </c:pt>
                <c:pt idx="6">
                  <c:v>0.70499999999999996</c:v>
                </c:pt>
                <c:pt idx="7">
                  <c:v>0.47199999999999992</c:v>
                </c:pt>
                <c:pt idx="8">
                  <c:v>0.33200000000000002</c:v>
                </c:pt>
                <c:pt idx="9">
                  <c:v>0.39400000000000002</c:v>
                </c:pt>
                <c:pt idx="10">
                  <c:v>0.36899999999999994</c:v>
                </c:pt>
                <c:pt idx="11">
                  <c:v>0.115</c:v>
                </c:pt>
                <c:pt idx="12">
                  <c:v>-0.111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Charts!$F$4</c:f>
              <c:strCache>
                <c:ptCount val="1"/>
                <c:pt idx="0">
                  <c:v>Netherlands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Charts!$F$5:$F$17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0.89300000000000002</c:v>
                </c:pt>
                <c:pt idx="2">
                  <c:v>0.84700000000000009</c:v>
                </c:pt>
                <c:pt idx="3">
                  <c:v>0.89700000000000002</c:v>
                </c:pt>
                <c:pt idx="4">
                  <c:v>0.84300000000000008</c:v>
                </c:pt>
                <c:pt idx="5">
                  <c:v>0.80500000000000005</c:v>
                </c:pt>
                <c:pt idx="6">
                  <c:v>0.71900000000000008</c:v>
                </c:pt>
                <c:pt idx="7">
                  <c:v>0.17399999999999999</c:v>
                </c:pt>
                <c:pt idx="8">
                  <c:v>0.42</c:v>
                </c:pt>
                <c:pt idx="9">
                  <c:v>0.10900000000000004</c:v>
                </c:pt>
                <c:pt idx="10">
                  <c:v>-0.10899999999999999</c:v>
                </c:pt>
                <c:pt idx="11">
                  <c:v>0.23900000000000002</c:v>
                </c:pt>
                <c:pt idx="12">
                  <c:v>-0.32900000000000001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Charts!$G$4</c:f>
              <c:strCache>
                <c:ptCount val="1"/>
                <c:pt idx="0">
                  <c:v>Spain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Charts!$G$5:$G$17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0.87</c:v>
                </c:pt>
                <c:pt idx="2">
                  <c:v>0.84199999999999997</c:v>
                </c:pt>
                <c:pt idx="3">
                  <c:v>0.90500000000000003</c:v>
                </c:pt>
                <c:pt idx="4">
                  <c:v>0.88700000000000001</c:v>
                </c:pt>
                <c:pt idx="5">
                  <c:v>0.91399999999999992</c:v>
                </c:pt>
                <c:pt idx="6">
                  <c:v>0.82499999999999996</c:v>
                </c:pt>
                <c:pt idx="7">
                  <c:v>0.185</c:v>
                </c:pt>
                <c:pt idx="8">
                  <c:v>5.0000000000000058E-2</c:v>
                </c:pt>
                <c:pt idx="9">
                  <c:v>1.7000000000000071E-2</c:v>
                </c:pt>
                <c:pt idx="10">
                  <c:v>-3.0999999999999944E-2</c:v>
                </c:pt>
                <c:pt idx="11">
                  <c:v>-0.33799999999999997</c:v>
                </c:pt>
                <c:pt idx="12">
                  <c:v>-0.65400000000000003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Charts!$H$4</c:f>
              <c:strCache>
                <c:ptCount val="1"/>
                <c:pt idx="0">
                  <c:v>UK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Charts!$H$5:$H$17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0.85</c:v>
                </c:pt>
                <c:pt idx="2">
                  <c:v>0.81499999999999995</c:v>
                </c:pt>
                <c:pt idx="3">
                  <c:v>0.88300000000000001</c:v>
                </c:pt>
                <c:pt idx="4">
                  <c:v>0.79600000000000004</c:v>
                </c:pt>
                <c:pt idx="5">
                  <c:v>0.84800000000000009</c:v>
                </c:pt>
                <c:pt idx="6">
                  <c:v>0.72499999999999998</c:v>
                </c:pt>
                <c:pt idx="7">
                  <c:v>8.7999999999999926E-2</c:v>
                </c:pt>
                <c:pt idx="8">
                  <c:v>0.19600000000000004</c:v>
                </c:pt>
                <c:pt idx="9">
                  <c:v>2.4000000000000021E-2</c:v>
                </c:pt>
                <c:pt idx="10">
                  <c:v>-0.18099999999999999</c:v>
                </c:pt>
                <c:pt idx="11">
                  <c:v>-9.5000000000000001E-2</c:v>
                </c:pt>
                <c:pt idx="12">
                  <c:v>-0.59399999999999997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Charts!$I$4</c:f>
              <c:strCache>
                <c:ptCount val="1"/>
                <c:pt idx="0">
                  <c:v>USA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Charts!$I$5:$I$17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0.85398399999999997</c:v>
                </c:pt>
                <c:pt idx="2">
                  <c:v>0.82465750000000004</c:v>
                </c:pt>
                <c:pt idx="3">
                  <c:v>0.86027049999999994</c:v>
                </c:pt>
                <c:pt idx="4">
                  <c:v>0.82710930000000005</c:v>
                </c:pt>
                <c:pt idx="5">
                  <c:v>0.843777</c:v>
                </c:pt>
                <c:pt idx="6">
                  <c:v>0.79979440000000002</c:v>
                </c:pt>
                <c:pt idx="7">
                  <c:v>0.39696790000000004</c:v>
                </c:pt>
                <c:pt idx="8">
                  <c:v>0.39574599999999999</c:v>
                </c:pt>
                <c:pt idx="9">
                  <c:v>0.33329039999999982</c:v>
                </c:pt>
                <c:pt idx="10">
                  <c:v>0.20360989999999982</c:v>
                </c:pt>
                <c:pt idx="11">
                  <c:v>0.14506099999999994</c:v>
                </c:pt>
                <c:pt idx="12">
                  <c:v>-0.10907070000000005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Charts!$J$4</c:f>
              <c:strCache>
                <c:ptCount val="1"/>
                <c:pt idx="0">
                  <c:v>Zimbabwe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Charts!$B$5:$B$17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Charts!$J$5:$J$17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0.84399999999999997</c:v>
                </c:pt>
                <c:pt idx="2">
                  <c:v>0.80800000000000005</c:v>
                </c:pt>
                <c:pt idx="3">
                  <c:v>0.85699999999999998</c:v>
                </c:pt>
                <c:pt idx="4">
                  <c:v>0.83299999999999996</c:v>
                </c:pt>
                <c:pt idx="5">
                  <c:v>0.85399999999999998</c:v>
                </c:pt>
                <c:pt idx="6">
                  <c:v>0.78699999999999992</c:v>
                </c:pt>
                <c:pt idx="7">
                  <c:v>0.45299999999999996</c:v>
                </c:pt>
                <c:pt idx="8">
                  <c:v>0.56100000000000005</c:v>
                </c:pt>
                <c:pt idx="9">
                  <c:v>0.37700000000000006</c:v>
                </c:pt>
                <c:pt idx="10">
                  <c:v>0.23399999999999999</c:v>
                </c:pt>
                <c:pt idx="11">
                  <c:v>0.26300000000000007</c:v>
                </c:pt>
                <c:pt idx="12">
                  <c:v>-0.14499999999999999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822464"/>
        <c:axId val="107849600"/>
      </c:lineChart>
      <c:catAx>
        <c:axId val="10782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Selected EQ-5D health states</a:t>
                </a:r>
              </a:p>
            </c:rich>
          </c:tx>
          <c:layout>
            <c:manualLayout>
              <c:xMode val="edge"/>
              <c:yMode val="edge"/>
              <c:x val="0.29432013769363169"/>
              <c:y val="0.880126182965299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7849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84960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health states</a:t>
                </a:r>
              </a:p>
            </c:rich>
          </c:tx>
          <c:layout>
            <c:manualLayout>
              <c:xMode val="edge"/>
              <c:yMode val="edge"/>
              <c:x val="2.7538726333907058E-2"/>
              <c:y val="0.242902208201892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7822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722891566265065"/>
          <c:y val="0.19873817034700317"/>
          <c:w val="0.17900172117039592"/>
          <c:h val="0.533123028391167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4204451372465"/>
          <c:y val="7.6923076923076927E-2"/>
          <c:w val="0.68296582567729824"/>
          <c:h val="0.77810650887573962"/>
        </c:manualLayout>
      </c:layout>
      <c:lineChart>
        <c:grouping val="standard"/>
        <c:varyColors val="0"/>
        <c:ser>
          <c:idx val="0"/>
          <c:order val="0"/>
          <c:tx>
            <c:strRef>
              <c:f>Charts!$C$42</c:f>
              <c:strCache>
                <c:ptCount val="1"/>
                <c:pt idx="0">
                  <c:v>Belgium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Charts!$C$43:$C$55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0.77400000000000002</c:v>
                </c:pt>
                <c:pt idx="2">
                  <c:v>0.76500000000000001</c:v>
                </c:pt>
                <c:pt idx="3">
                  <c:v>0.81699999999999995</c:v>
                </c:pt>
                <c:pt idx="4">
                  <c:v>0.76400000000000001</c:v>
                </c:pt>
                <c:pt idx="5">
                  <c:v>0.745</c:v>
                </c:pt>
                <c:pt idx="6">
                  <c:v>0.66100000000000003</c:v>
                </c:pt>
                <c:pt idx="7">
                  <c:v>0.21599999999999997</c:v>
                </c:pt>
                <c:pt idx="8">
                  <c:v>0.33</c:v>
                </c:pt>
                <c:pt idx="9">
                  <c:v>8.299999999999999E-2</c:v>
                </c:pt>
                <c:pt idx="10">
                  <c:v>0.03</c:v>
                </c:pt>
                <c:pt idx="11">
                  <c:v>0.1319999999999999</c:v>
                </c:pt>
                <c:pt idx="12">
                  <c:v>-0.15800000000000008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Charts!$D$42</c:f>
              <c:strCache>
                <c:ptCount val="1"/>
                <c:pt idx="0">
                  <c:v>Denmark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Charts!$D$43:$D$55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0.64900000000000002</c:v>
                </c:pt>
                <c:pt idx="2">
                  <c:v>0.66300000000000003</c:v>
                </c:pt>
                <c:pt idx="3">
                  <c:v>0.71100000000000008</c:v>
                </c:pt>
                <c:pt idx="4">
                  <c:v>0.69700000000000006</c:v>
                </c:pt>
                <c:pt idx="5">
                  <c:v>0.68400000000000005</c:v>
                </c:pt>
                <c:pt idx="6">
                  <c:v>0.60600000000000009</c:v>
                </c:pt>
                <c:pt idx="7">
                  <c:v>0.33799999999999997</c:v>
                </c:pt>
                <c:pt idx="8">
                  <c:v>0.34700000000000003</c:v>
                </c:pt>
                <c:pt idx="9">
                  <c:v>0.14900000000000002</c:v>
                </c:pt>
                <c:pt idx="10">
                  <c:v>0.13500000000000001</c:v>
                </c:pt>
                <c:pt idx="11">
                  <c:v>9.3000000000000041E-2</c:v>
                </c:pt>
                <c:pt idx="12">
                  <c:v>-0.16699999999999995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Charts!$E$42</c:f>
              <c:strCache>
                <c:ptCount val="1"/>
                <c:pt idx="0">
                  <c:v>Finland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Charts!$E$43:$E$55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0.78399999999999992</c:v>
                </c:pt>
                <c:pt idx="2">
                  <c:v>0.74399999999999999</c:v>
                </c:pt>
                <c:pt idx="3">
                  <c:v>0.79500000000000004</c:v>
                </c:pt>
                <c:pt idx="4">
                  <c:v>0.73099999999999998</c:v>
                </c:pt>
                <c:pt idx="5">
                  <c:v>0.68199999999999994</c:v>
                </c:pt>
                <c:pt idx="6">
                  <c:v>0.57099999999999995</c:v>
                </c:pt>
                <c:pt idx="7">
                  <c:v>0.42399999999999982</c:v>
                </c:pt>
                <c:pt idx="8">
                  <c:v>0.46700000000000003</c:v>
                </c:pt>
                <c:pt idx="9">
                  <c:v>0.24799999999999994</c:v>
                </c:pt>
                <c:pt idx="10">
                  <c:v>0.28999999999999998</c:v>
                </c:pt>
                <c:pt idx="11">
                  <c:v>0.22699999999999998</c:v>
                </c:pt>
                <c:pt idx="12">
                  <c:v>-1.1000000000000038E-2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Charts!$F$42</c:f>
              <c:strCache>
                <c:ptCount val="1"/>
                <c:pt idx="0">
                  <c:v>New Zealand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Charts!$F$43:$F$55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0.72060000000000002</c:v>
                </c:pt>
                <c:pt idx="2">
                  <c:v>0.72450000000000003</c:v>
                </c:pt>
                <c:pt idx="3">
                  <c:v>0.78230000000000011</c:v>
                </c:pt>
                <c:pt idx="4">
                  <c:v>0.71610000000000007</c:v>
                </c:pt>
                <c:pt idx="5">
                  <c:v>0.70390000000000008</c:v>
                </c:pt>
                <c:pt idx="6">
                  <c:v>0.6241000000000001</c:v>
                </c:pt>
                <c:pt idx="7">
                  <c:v>0.23889999999999997</c:v>
                </c:pt>
                <c:pt idx="8">
                  <c:v>0.34379999999999999</c:v>
                </c:pt>
                <c:pt idx="9">
                  <c:v>0.14169999999999999</c:v>
                </c:pt>
                <c:pt idx="10">
                  <c:v>7.5499999999999956E-2</c:v>
                </c:pt>
                <c:pt idx="11">
                  <c:v>0.17900000000000005</c:v>
                </c:pt>
                <c:pt idx="12">
                  <c:v>-8.4799999999999959E-2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Charts!$G$42</c:f>
              <c:strCache>
                <c:ptCount val="1"/>
                <c:pt idx="0">
                  <c:v>Slovenia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Charts!$G$43:$G$55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0.66600000000000004</c:v>
                </c:pt>
                <c:pt idx="2">
                  <c:v>0.77900000000000003</c:v>
                </c:pt>
                <c:pt idx="3">
                  <c:v>0.81799999999999995</c:v>
                </c:pt>
                <c:pt idx="4">
                  <c:v>0.76100000000000001</c:v>
                </c:pt>
                <c:pt idx="5">
                  <c:v>0.77900000000000003</c:v>
                </c:pt>
                <c:pt idx="6">
                  <c:v>0.66800000000000004</c:v>
                </c:pt>
                <c:pt idx="7">
                  <c:v>0.29700000000000004</c:v>
                </c:pt>
                <c:pt idx="8">
                  <c:v>0.313</c:v>
                </c:pt>
                <c:pt idx="9">
                  <c:v>0.16800000000000009</c:v>
                </c:pt>
                <c:pt idx="10">
                  <c:v>0.11100000000000004</c:v>
                </c:pt>
                <c:pt idx="11">
                  <c:v>5.5E-2</c:v>
                </c:pt>
                <c:pt idx="12">
                  <c:v>-0.24199999999999997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Charts!$H$42</c:f>
              <c:strCache>
                <c:ptCount val="1"/>
                <c:pt idx="0">
                  <c:v>Spain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Charts!$H$43:$H$55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0.7601</c:v>
                </c:pt>
                <c:pt idx="2">
                  <c:v>0.74860000000000004</c:v>
                </c:pt>
                <c:pt idx="3">
                  <c:v>0.79469999999999996</c:v>
                </c:pt>
                <c:pt idx="4">
                  <c:v>0.79020000000000001</c:v>
                </c:pt>
                <c:pt idx="5">
                  <c:v>0.79859999999999998</c:v>
                </c:pt>
                <c:pt idx="6">
                  <c:v>0.73899999999999999</c:v>
                </c:pt>
                <c:pt idx="7">
                  <c:v>0.32269999999999999</c:v>
                </c:pt>
                <c:pt idx="8">
                  <c:v>0.30220000000000002</c:v>
                </c:pt>
                <c:pt idx="9">
                  <c:v>0.17480000000000001</c:v>
                </c:pt>
                <c:pt idx="10">
                  <c:v>0.17030000000000006</c:v>
                </c:pt>
                <c:pt idx="11">
                  <c:v>8.6299999999999974E-2</c:v>
                </c:pt>
                <c:pt idx="12">
                  <c:v>-7.5700000000000031E-2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Charts!$I$42</c:f>
              <c:strCache>
                <c:ptCount val="1"/>
                <c:pt idx="0">
                  <c:v>UK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Charts!$I$43:$I$55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0.77400000000000002</c:v>
                </c:pt>
                <c:pt idx="2">
                  <c:v>0.752</c:v>
                </c:pt>
                <c:pt idx="3">
                  <c:v>0.81399999999999995</c:v>
                </c:pt>
                <c:pt idx="4">
                  <c:v>0.76100000000000001</c:v>
                </c:pt>
                <c:pt idx="5">
                  <c:v>0.78200000000000003</c:v>
                </c:pt>
                <c:pt idx="6">
                  <c:v>0.69799999999999995</c:v>
                </c:pt>
                <c:pt idx="7">
                  <c:v>0.29399999999999998</c:v>
                </c:pt>
                <c:pt idx="8">
                  <c:v>0.32399999999999995</c:v>
                </c:pt>
                <c:pt idx="9">
                  <c:v>0.17700000000000005</c:v>
                </c:pt>
                <c:pt idx="10">
                  <c:v>0.14000000000000001</c:v>
                </c:pt>
                <c:pt idx="11">
                  <c:v>0.13800000000000001</c:v>
                </c:pt>
                <c:pt idx="12">
                  <c:v>-7.2999999999999982E-2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Charts!$J$42</c:f>
              <c:strCache>
                <c:ptCount val="1"/>
                <c:pt idx="0">
                  <c:v>Europe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Charts!$B$43:$B$55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Charts!$J$43:$J$55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0.80620000000000003</c:v>
                </c:pt>
                <c:pt idx="2">
                  <c:v>0.75480000000000003</c:v>
                </c:pt>
                <c:pt idx="3">
                  <c:v>0.84570000000000001</c:v>
                </c:pt>
                <c:pt idx="4">
                  <c:v>0.77910000000000001</c:v>
                </c:pt>
                <c:pt idx="5">
                  <c:v>0.78300000000000003</c:v>
                </c:pt>
                <c:pt idx="6">
                  <c:v>0.69</c:v>
                </c:pt>
                <c:pt idx="7">
                  <c:v>0.29820000000000002</c:v>
                </c:pt>
                <c:pt idx="8">
                  <c:v>0.31669999999999998</c:v>
                </c:pt>
                <c:pt idx="9">
                  <c:v>0.15210000000000001</c:v>
                </c:pt>
                <c:pt idx="10">
                  <c:v>0.14100000000000001</c:v>
                </c:pt>
                <c:pt idx="11">
                  <c:v>0.1255</c:v>
                </c:pt>
                <c:pt idx="12">
                  <c:v>-7.4200000000000016E-2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36896"/>
        <c:axId val="109159936"/>
      </c:lineChart>
      <c:catAx>
        <c:axId val="10913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Selected EQ-5D Health states</a:t>
                </a:r>
              </a:p>
            </c:rich>
          </c:tx>
          <c:layout>
            <c:manualLayout>
              <c:xMode val="edge"/>
              <c:yMode val="edge"/>
              <c:x val="0.30914843057866975"/>
              <c:y val="0.88757396449704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915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9159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health states</a:t>
                </a:r>
              </a:p>
            </c:rich>
          </c:tx>
          <c:layout>
            <c:manualLayout>
              <c:xMode val="edge"/>
              <c:yMode val="edge"/>
              <c:x val="2.5236593059936908E-2"/>
              <c:y val="0.257396449704141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1368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545807562698192"/>
          <c:y val="0.21597633136094674"/>
          <c:w val="0.17192445581526283"/>
          <c:h val="0.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37906137184116"/>
          <c:y val="8.4375000000000006E-2"/>
          <c:w val="0.60649819494584833"/>
          <c:h val="0.78125"/>
        </c:manualLayout>
      </c:layout>
      <c:lineChart>
        <c:grouping val="standard"/>
        <c:varyColors val="0"/>
        <c:ser>
          <c:idx val="0"/>
          <c:order val="0"/>
          <c:tx>
            <c:strRef>
              <c:f>Charts!$C$81</c:f>
              <c:strCache>
                <c:ptCount val="1"/>
                <c:pt idx="0">
                  <c:v>Denmark-TTO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Charts!$B$82:$B$94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Charts!$C$82:$C$94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0.83299999999999996</c:v>
                </c:pt>
                <c:pt idx="2">
                  <c:v>0.82299999999999995</c:v>
                </c:pt>
                <c:pt idx="3">
                  <c:v>0.83799999999999997</c:v>
                </c:pt>
                <c:pt idx="4">
                  <c:v>0.82400000000000007</c:v>
                </c:pt>
                <c:pt idx="5">
                  <c:v>0.81800000000000006</c:v>
                </c:pt>
                <c:pt idx="6">
                  <c:v>0.75600000000000001</c:v>
                </c:pt>
                <c:pt idx="7">
                  <c:v>0.3209999999999999</c:v>
                </c:pt>
                <c:pt idx="8">
                  <c:v>0.36400000000000005</c:v>
                </c:pt>
                <c:pt idx="9">
                  <c:v>0.19700000000000006</c:v>
                </c:pt>
                <c:pt idx="10">
                  <c:v>-4.1000000000000036E-2</c:v>
                </c:pt>
                <c:pt idx="11">
                  <c:v>7.7000000000000041E-2</c:v>
                </c:pt>
                <c:pt idx="12">
                  <c:v>-0.624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Charts!$D$81</c:f>
              <c:strCache>
                <c:ptCount val="1"/>
                <c:pt idx="0">
                  <c:v>Denmark-VAS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ysDash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Charts!$B$82:$B$94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Charts!$D$82:$D$94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0.64900000000000002</c:v>
                </c:pt>
                <c:pt idx="2">
                  <c:v>0.66300000000000003</c:v>
                </c:pt>
                <c:pt idx="3">
                  <c:v>0.71100000000000008</c:v>
                </c:pt>
                <c:pt idx="4">
                  <c:v>0.69700000000000006</c:v>
                </c:pt>
                <c:pt idx="5">
                  <c:v>0.68400000000000005</c:v>
                </c:pt>
                <c:pt idx="6">
                  <c:v>0.60600000000000009</c:v>
                </c:pt>
                <c:pt idx="7">
                  <c:v>0.33799999999999997</c:v>
                </c:pt>
                <c:pt idx="8">
                  <c:v>0.34700000000000003</c:v>
                </c:pt>
                <c:pt idx="9">
                  <c:v>0.14900000000000002</c:v>
                </c:pt>
                <c:pt idx="10">
                  <c:v>0.13500000000000001</c:v>
                </c:pt>
                <c:pt idx="11">
                  <c:v>9.3000000000000041E-2</c:v>
                </c:pt>
                <c:pt idx="12">
                  <c:v>-0.16699999999999995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Charts!$E$81</c:f>
              <c:strCache>
                <c:ptCount val="1"/>
                <c:pt idx="0">
                  <c:v>Spain-TTO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Charts!$B$82:$B$94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Charts!$E$82:$E$94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0.87</c:v>
                </c:pt>
                <c:pt idx="2">
                  <c:v>0.84199999999999997</c:v>
                </c:pt>
                <c:pt idx="3">
                  <c:v>0.90500000000000003</c:v>
                </c:pt>
                <c:pt idx="4">
                  <c:v>0.88700000000000001</c:v>
                </c:pt>
                <c:pt idx="5">
                  <c:v>0.91399999999999992</c:v>
                </c:pt>
                <c:pt idx="6">
                  <c:v>0.82499999999999996</c:v>
                </c:pt>
                <c:pt idx="7">
                  <c:v>0.185</c:v>
                </c:pt>
                <c:pt idx="8">
                  <c:v>5.0000000000000058E-2</c:v>
                </c:pt>
                <c:pt idx="9">
                  <c:v>1.7000000000000071E-2</c:v>
                </c:pt>
                <c:pt idx="10">
                  <c:v>-3.0999999999999944E-2</c:v>
                </c:pt>
                <c:pt idx="11">
                  <c:v>-0.33799999999999997</c:v>
                </c:pt>
                <c:pt idx="12">
                  <c:v>-0.65400000000000003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Charts!$F$81</c:f>
              <c:strCache>
                <c:ptCount val="1"/>
                <c:pt idx="0">
                  <c:v>Spain-VAS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Charts!$B$82:$B$94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Charts!$F$82:$F$94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0.7601</c:v>
                </c:pt>
                <c:pt idx="2">
                  <c:v>0.74860000000000004</c:v>
                </c:pt>
                <c:pt idx="3">
                  <c:v>0.79469999999999996</c:v>
                </c:pt>
                <c:pt idx="4">
                  <c:v>0.79020000000000001</c:v>
                </c:pt>
                <c:pt idx="5">
                  <c:v>0.79859999999999998</c:v>
                </c:pt>
                <c:pt idx="6">
                  <c:v>0.73899999999999999</c:v>
                </c:pt>
                <c:pt idx="7">
                  <c:v>0.32269999999999999</c:v>
                </c:pt>
                <c:pt idx="8">
                  <c:v>0.30220000000000002</c:v>
                </c:pt>
                <c:pt idx="9">
                  <c:v>0.17480000000000001</c:v>
                </c:pt>
                <c:pt idx="10">
                  <c:v>0.17030000000000006</c:v>
                </c:pt>
                <c:pt idx="11">
                  <c:v>8.6299999999999974E-2</c:v>
                </c:pt>
                <c:pt idx="12">
                  <c:v>-7.5700000000000031E-2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Charts!$G$81</c:f>
              <c:strCache>
                <c:ptCount val="1"/>
                <c:pt idx="0">
                  <c:v>UK-TTO</c:v>
                </c:pt>
              </c:strCache>
            </c:strRef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star"/>
            <c:size val="9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Charts!$B$82:$B$94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Charts!$G$82:$G$94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0.85</c:v>
                </c:pt>
                <c:pt idx="2">
                  <c:v>0.81499999999999995</c:v>
                </c:pt>
                <c:pt idx="3">
                  <c:v>0.88300000000000001</c:v>
                </c:pt>
                <c:pt idx="4">
                  <c:v>0.79600000000000004</c:v>
                </c:pt>
                <c:pt idx="5">
                  <c:v>0.84800000000000009</c:v>
                </c:pt>
                <c:pt idx="6">
                  <c:v>0.72499999999999998</c:v>
                </c:pt>
                <c:pt idx="7">
                  <c:v>8.7999999999999926E-2</c:v>
                </c:pt>
                <c:pt idx="8">
                  <c:v>0.19600000000000004</c:v>
                </c:pt>
                <c:pt idx="9">
                  <c:v>2.4000000000000021E-2</c:v>
                </c:pt>
                <c:pt idx="10">
                  <c:v>-0.18099999999999999</c:v>
                </c:pt>
                <c:pt idx="11">
                  <c:v>-9.5000000000000001E-2</c:v>
                </c:pt>
                <c:pt idx="12">
                  <c:v>-0.59399999999999997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Charts!$H$81</c:f>
              <c:strCache>
                <c:ptCount val="1"/>
                <c:pt idx="0">
                  <c:v>UK-VAS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Charts!$B$82:$B$94</c:f>
              <c:numCache>
                <c:formatCode>General</c:formatCode>
                <c:ptCount val="13"/>
                <c:pt idx="0">
                  <c:v>11111</c:v>
                </c:pt>
                <c:pt idx="1">
                  <c:v>21111</c:v>
                </c:pt>
                <c:pt idx="2">
                  <c:v>12111</c:v>
                </c:pt>
                <c:pt idx="3">
                  <c:v>11211</c:v>
                </c:pt>
                <c:pt idx="4">
                  <c:v>11121</c:v>
                </c:pt>
                <c:pt idx="5">
                  <c:v>11112</c:v>
                </c:pt>
                <c:pt idx="6">
                  <c:v>11122</c:v>
                </c:pt>
                <c:pt idx="7">
                  <c:v>21232</c:v>
                </c:pt>
                <c:pt idx="8">
                  <c:v>32211</c:v>
                </c:pt>
                <c:pt idx="9">
                  <c:v>22323</c:v>
                </c:pt>
                <c:pt idx="10">
                  <c:v>22233</c:v>
                </c:pt>
                <c:pt idx="11">
                  <c:v>33321</c:v>
                </c:pt>
                <c:pt idx="12">
                  <c:v>33333</c:v>
                </c:pt>
              </c:numCache>
            </c:numRef>
          </c:cat>
          <c:val>
            <c:numRef>
              <c:f>Charts!$H$82:$H$94</c:f>
              <c:numCache>
                <c:formatCode>0.000</c:formatCode>
                <c:ptCount val="13"/>
                <c:pt idx="0" formatCode="General">
                  <c:v>1</c:v>
                </c:pt>
                <c:pt idx="1">
                  <c:v>0.77400000000000002</c:v>
                </c:pt>
                <c:pt idx="2">
                  <c:v>0.752</c:v>
                </c:pt>
                <c:pt idx="3">
                  <c:v>0.81399999999999995</c:v>
                </c:pt>
                <c:pt idx="4">
                  <c:v>0.76100000000000001</c:v>
                </c:pt>
                <c:pt idx="5">
                  <c:v>0.78200000000000003</c:v>
                </c:pt>
                <c:pt idx="6">
                  <c:v>0.69799999999999995</c:v>
                </c:pt>
                <c:pt idx="7">
                  <c:v>0.29399999999999998</c:v>
                </c:pt>
                <c:pt idx="8">
                  <c:v>0.32399999999999995</c:v>
                </c:pt>
                <c:pt idx="9">
                  <c:v>0.17700000000000005</c:v>
                </c:pt>
                <c:pt idx="10">
                  <c:v>0.14000000000000001</c:v>
                </c:pt>
                <c:pt idx="11">
                  <c:v>0.13800000000000001</c:v>
                </c:pt>
                <c:pt idx="12">
                  <c:v>-7.2999999999999982E-2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76768"/>
        <c:axId val="110579072"/>
      </c:lineChart>
      <c:catAx>
        <c:axId val="110576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Selected EQ-5D health states</a:t>
                </a:r>
              </a:p>
            </c:rich>
          </c:tx>
          <c:layout>
            <c:manualLayout>
              <c:xMode val="edge"/>
              <c:yMode val="edge"/>
              <c:x val="0.23465703971119134"/>
              <c:y val="0.896874999999999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057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79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health states</a:t>
                </a:r>
              </a:p>
            </c:rich>
          </c:tx>
          <c:layout>
            <c:manualLayout>
              <c:xMode val="edge"/>
              <c:yMode val="edge"/>
              <c:x val="1.9855595667870037E-2"/>
              <c:y val="0.212499999999999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05767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70758122743686"/>
          <c:y val="0.25624999999999998"/>
          <c:w val="0.23285198555956677"/>
          <c:h val="0.396874999999999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266700</xdr:colOff>
      <xdr:row>4</xdr:row>
      <xdr:rowOff>133350</xdr:rowOff>
    </xdr:from>
    <xdr:ext cx="1104900" cy="646336"/>
    <xdr:sp macro="" textlink="">
      <xdr:nvSpPr>
        <xdr:cNvPr id="3" name="TextBox 2"/>
        <xdr:cNvSpPr txBox="1"/>
      </xdr:nvSpPr>
      <xdr:spPr>
        <a:xfrm>
          <a:off x="5010150" y="895350"/>
          <a:ext cx="1104900" cy="6463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>
              <a:solidFill>
                <a:srgbClr val="FF0000"/>
              </a:solidFill>
            </a:rPr>
            <a:t>RESPONSES</a:t>
          </a:r>
        </a:p>
        <a:p>
          <a:pPr algn="ctr"/>
          <a:r>
            <a:rPr lang="en-GB" sz="1100" i="1">
              <a:solidFill>
                <a:srgbClr val="FF0000"/>
              </a:solidFill>
            </a:rPr>
            <a:t>0= best    4=worst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17</xdr:row>
      <xdr:rowOff>76200</xdr:rowOff>
    </xdr:from>
    <xdr:to>
      <xdr:col>9</xdr:col>
      <xdr:colOff>600075</xdr:colOff>
      <xdr:row>36</xdr:row>
      <xdr:rowOff>19050</xdr:rowOff>
    </xdr:to>
    <xdr:graphicFrame macro="">
      <xdr:nvGraphicFramePr>
        <xdr:cNvPr id="20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56</xdr:row>
      <xdr:rowOff>0</xdr:rowOff>
    </xdr:from>
    <xdr:to>
      <xdr:col>10</xdr:col>
      <xdr:colOff>514350</xdr:colOff>
      <xdr:row>75</xdr:row>
      <xdr:rowOff>142875</xdr:rowOff>
    </xdr:to>
    <xdr:graphicFrame macro="">
      <xdr:nvGraphicFramePr>
        <xdr:cNvPr id="206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94</xdr:row>
      <xdr:rowOff>133350</xdr:rowOff>
    </xdr:from>
    <xdr:to>
      <xdr:col>9</xdr:col>
      <xdr:colOff>381000</xdr:colOff>
      <xdr:row>113</xdr:row>
      <xdr:rowOff>104775</xdr:rowOff>
    </xdr:to>
    <xdr:graphicFrame macro="">
      <xdr:nvGraphicFramePr>
        <xdr:cNvPr id="206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285750</xdr:colOff>
      <xdr:row>3</xdr:row>
      <xdr:rowOff>38100</xdr:rowOff>
    </xdr:from>
    <xdr:ext cx="1104900" cy="646336"/>
    <xdr:sp macro="" textlink="">
      <xdr:nvSpPr>
        <xdr:cNvPr id="3" name="TextBox 2"/>
        <xdr:cNvSpPr txBox="1"/>
      </xdr:nvSpPr>
      <xdr:spPr>
        <a:xfrm>
          <a:off x="3857625" y="523875"/>
          <a:ext cx="1104900" cy="646336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>
              <a:solidFill>
                <a:srgbClr val="FF0000"/>
              </a:solidFill>
            </a:rPr>
            <a:t>RESPONSES</a:t>
          </a:r>
        </a:p>
        <a:p>
          <a:pPr algn="ctr"/>
          <a:r>
            <a:rPr lang="en-GB" sz="1100" i="1">
              <a:solidFill>
                <a:srgbClr val="FF0000"/>
              </a:solidFill>
            </a:rPr>
            <a:t>4= best    0=worst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B17:C21" totalsRowShown="0" headerRowDxfId="19">
  <autoFilter ref="B17:C21"/>
  <tableColumns count="2">
    <tableColumn id="1" name="P1 RESPONSE"/>
    <tableColumn id="2" name="P1 SC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23:C27" totalsRowShown="0" headerRowDxfId="18">
  <autoFilter ref="B23:C27"/>
  <tableColumns count="2">
    <tableColumn id="1" name="F1 RESPONSE"/>
    <tableColumn id="2" name="F1 SC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29:C33" totalsRowShown="0" headerRowDxfId="17">
  <autoFilter ref="B29:C33"/>
  <tableColumns count="2">
    <tableColumn id="1" name="F2 RESPONSE"/>
    <tableColumn id="2" name="F2 SCOR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B35:C38" totalsRowShown="0" headerRowDxfId="16">
  <autoFilter ref="B35:C38"/>
  <tableColumns count="2">
    <tableColumn id="1" name="F3 RESPONSE"/>
    <tableColumn id="2" name="F3 SCO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J2:K6" totalsRowShown="0" headerRowDxfId="15" dataDxfId="14">
  <autoFilter ref="J2:K6"/>
  <tableColumns count="2">
    <tableColumn id="1" name="Q7 RESPONSE" dataDxfId="13"/>
    <tableColumn id="2" name="Q7  SCORE" dataDxf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J9:K14" totalsRowShown="0" headerRowDxfId="11" dataDxfId="10">
  <autoFilter ref="J9:K14"/>
  <tableColumns count="2">
    <tableColumn id="1" name="Q8 RESPONSE" dataDxfId="9"/>
    <tableColumn id="2" name="Q8 SCORE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J16:K21" totalsRowShown="0" headerRowDxfId="7" dataDxfId="6">
  <autoFilter ref="J16:K21"/>
  <tableColumns count="2">
    <tableColumn id="1" name="Q8 RESPONSE" dataDxfId="5"/>
    <tableColumn id="2" name="Q8 SCORE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J23:K28" totalsRowShown="0" headerRowDxfId="3" dataDxfId="2">
  <autoFilter ref="J23:K28"/>
  <tableColumns count="2">
    <tableColumn id="1" name="Q8 RESPONSE" dataDxfId="1"/>
    <tableColumn id="2" name="Q8 SCO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"/>
  <sheetViews>
    <sheetView workbookViewId="0">
      <selection activeCell="B35" sqref="B35"/>
    </sheetView>
  </sheetViews>
  <sheetFormatPr defaultRowHeight="12.75" x14ac:dyDescent="0.2"/>
  <cols>
    <col min="1" max="1" width="10.28515625" bestFit="1" customWidth="1"/>
    <col min="2" max="2" width="10.140625" bestFit="1" customWidth="1"/>
    <col min="3" max="3" width="20.28515625" bestFit="1" customWidth="1"/>
    <col min="4" max="4" width="8.85546875" customWidth="1"/>
    <col min="5" max="5" width="20" bestFit="1" customWidth="1"/>
  </cols>
  <sheetData>
    <row r="1" spans="1:5" ht="15" x14ac:dyDescent="0.25">
      <c r="A1" s="69" t="s">
        <v>64</v>
      </c>
      <c r="B1" s="69" t="s">
        <v>65</v>
      </c>
      <c r="C1" s="69" t="s">
        <v>66</v>
      </c>
      <c r="D1" s="69" t="s">
        <v>67</v>
      </c>
      <c r="E1" s="69" t="s">
        <v>68</v>
      </c>
    </row>
    <row r="2" spans="1:5" x14ac:dyDescent="0.2">
      <c r="A2">
        <v>1</v>
      </c>
    </row>
    <row r="3" spans="1:5" x14ac:dyDescent="0.2">
      <c r="A3">
        <v>2</v>
      </c>
    </row>
    <row r="4" spans="1:5" x14ac:dyDescent="0.2">
      <c r="A4">
        <v>3</v>
      </c>
    </row>
    <row r="5" spans="1:5" x14ac:dyDescent="0.2">
      <c r="A5">
        <v>4</v>
      </c>
    </row>
    <row r="6" spans="1:5" x14ac:dyDescent="0.2">
      <c r="A6">
        <v>5</v>
      </c>
    </row>
    <row r="7" spans="1:5" x14ac:dyDescent="0.2">
      <c r="A7">
        <v>6</v>
      </c>
    </row>
    <row r="8" spans="1:5" x14ac:dyDescent="0.2">
      <c r="A8">
        <v>7</v>
      </c>
    </row>
    <row r="9" spans="1:5" x14ac:dyDescent="0.2">
      <c r="A9">
        <v>8</v>
      </c>
    </row>
    <row r="10" spans="1:5" x14ac:dyDescent="0.2">
      <c r="A10">
        <v>9</v>
      </c>
    </row>
    <row r="11" spans="1:5" x14ac:dyDescent="0.2">
      <c r="A11">
        <v>10</v>
      </c>
    </row>
    <row r="12" spans="1:5" x14ac:dyDescent="0.2">
      <c r="A12">
        <v>11</v>
      </c>
    </row>
    <row r="13" spans="1:5" x14ac:dyDescent="0.2">
      <c r="A13">
        <v>12</v>
      </c>
    </row>
    <row r="14" spans="1:5" x14ac:dyDescent="0.2">
      <c r="A14">
        <v>13</v>
      </c>
    </row>
    <row r="15" spans="1:5" x14ac:dyDescent="0.2">
      <c r="A15">
        <v>14</v>
      </c>
    </row>
    <row r="16" spans="1:5" x14ac:dyDescent="0.2">
      <c r="A16">
        <v>15</v>
      </c>
    </row>
    <row r="17" spans="1:5" x14ac:dyDescent="0.2">
      <c r="A17">
        <v>16</v>
      </c>
    </row>
    <row r="18" spans="1:5" ht="15" x14ac:dyDescent="0.25">
      <c r="A18" s="69" t="s">
        <v>69</v>
      </c>
      <c r="B18" s="69"/>
      <c r="C18" s="70">
        <f>3.57*(B3+B4+B5+B6+B7+B8+B9)</f>
        <v>0</v>
      </c>
      <c r="D18" s="70">
        <f>5*(B2+B12+B13+B16+B17)</f>
        <v>0</v>
      </c>
      <c r="E18" s="70">
        <f>6.25*(B10+B11+B14+B15)</f>
        <v>0</v>
      </c>
    </row>
    <row r="19" spans="1:5" ht="15" x14ac:dyDescent="0.25">
      <c r="A19" s="71" t="s">
        <v>70</v>
      </c>
      <c r="B19" s="72">
        <f>(C18+D18+E18)/3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2"/>
  <sheetViews>
    <sheetView workbookViewId="0">
      <selection activeCell="C5" sqref="C5"/>
    </sheetView>
  </sheetViews>
  <sheetFormatPr defaultRowHeight="15.75" x14ac:dyDescent="0.25"/>
  <cols>
    <col min="1" max="1" width="26.5703125" style="18" customWidth="1"/>
    <col min="2" max="5" width="13.28515625" style="18" customWidth="1"/>
    <col min="6" max="6" width="14.42578125" style="18" customWidth="1"/>
    <col min="7" max="10" width="13.28515625" style="18" customWidth="1"/>
    <col min="11" max="16384" width="9.140625" style="18"/>
  </cols>
  <sheetData>
    <row r="1" spans="1:14" ht="39.75" customHeight="1" x14ac:dyDescent="0.25">
      <c r="A1" s="27" t="s">
        <v>38</v>
      </c>
      <c r="B1" s="28" t="s">
        <v>29</v>
      </c>
      <c r="C1" s="28" t="s">
        <v>30</v>
      </c>
      <c r="D1" s="28" t="s">
        <v>13</v>
      </c>
      <c r="E1" s="28" t="s">
        <v>31</v>
      </c>
      <c r="F1" s="51" t="s">
        <v>46</v>
      </c>
      <c r="G1" s="28" t="s">
        <v>33</v>
      </c>
      <c r="H1" s="28" t="s">
        <v>35</v>
      </c>
      <c r="I1" s="28" t="s">
        <v>36</v>
      </c>
      <c r="J1" s="28" t="s">
        <v>37</v>
      </c>
      <c r="K1" s="18" t="s">
        <v>39</v>
      </c>
      <c r="L1" s="18" t="s">
        <v>52</v>
      </c>
      <c r="M1" s="18" t="s">
        <v>53</v>
      </c>
      <c r="N1" s="18" t="s">
        <v>40</v>
      </c>
    </row>
    <row r="2" spans="1:14" x14ac:dyDescent="0.25">
      <c r="A2" s="3" t="s">
        <v>0</v>
      </c>
      <c r="B2" s="20">
        <v>1</v>
      </c>
      <c r="C2" s="20">
        <v>1</v>
      </c>
      <c r="D2" s="21">
        <v>1</v>
      </c>
      <c r="E2" s="20">
        <v>1</v>
      </c>
      <c r="F2" s="35">
        <v>1</v>
      </c>
      <c r="G2" s="20">
        <v>1</v>
      </c>
      <c r="H2" s="20">
        <v>1</v>
      </c>
      <c r="I2" s="20">
        <v>1</v>
      </c>
      <c r="J2" s="20">
        <v>1</v>
      </c>
    </row>
    <row r="3" spans="1:14" s="19" customFormat="1" ht="6.75" x14ac:dyDescent="0.15">
      <c r="A3" s="4"/>
      <c r="B3" s="22"/>
      <c r="C3" s="22"/>
      <c r="D3" s="23"/>
      <c r="E3" s="22"/>
      <c r="F3" s="36"/>
      <c r="G3" s="22"/>
      <c r="H3" s="22"/>
      <c r="I3" s="22"/>
      <c r="J3" s="22"/>
    </row>
    <row r="4" spans="1:14" x14ac:dyDescent="0.25">
      <c r="A4" s="3" t="s">
        <v>1</v>
      </c>
      <c r="B4" s="20">
        <v>-0.152</v>
      </c>
      <c r="C4" s="20">
        <v>-0.22500000000000001</v>
      </c>
      <c r="D4" s="48">
        <v>-0.12790000000000001</v>
      </c>
      <c r="E4" s="20">
        <v>-0.158</v>
      </c>
      <c r="F4" s="35">
        <v>0.92559999999999998</v>
      </c>
      <c r="G4" s="20">
        <v>-0.2041</v>
      </c>
      <c r="H4" s="20">
        <v>-0.128</v>
      </c>
      <c r="I4" s="20">
        <v>-0.1502</v>
      </c>
      <c r="J4" s="20">
        <v>-0.155</v>
      </c>
    </row>
    <row r="5" spans="1:14" x14ac:dyDescent="0.25">
      <c r="A5" s="3" t="s">
        <v>2</v>
      </c>
      <c r="B5" s="20">
        <v>-0.25600000000000001</v>
      </c>
      <c r="C5" s="24" t="s">
        <v>34</v>
      </c>
      <c r="D5" s="48">
        <v>-0.2288</v>
      </c>
      <c r="E5" s="24" t="s">
        <v>34</v>
      </c>
      <c r="F5" s="45" t="s">
        <v>34</v>
      </c>
      <c r="G5" s="20">
        <v>-0.2165</v>
      </c>
      <c r="H5" s="24" t="s">
        <v>34</v>
      </c>
      <c r="I5" s="20">
        <v>-0.21190000000000001</v>
      </c>
      <c r="J5" s="20">
        <v>-0.215</v>
      </c>
    </row>
    <row r="6" spans="1:14" s="19" customFormat="1" ht="6.75" x14ac:dyDescent="0.15">
      <c r="A6" s="4"/>
      <c r="B6" s="22"/>
      <c r="C6" s="22"/>
      <c r="D6" s="49"/>
      <c r="E6" s="22"/>
      <c r="F6" s="36"/>
      <c r="G6" s="22"/>
      <c r="H6" s="22"/>
      <c r="I6" s="22"/>
      <c r="J6" s="22"/>
    </row>
    <row r="7" spans="1:14" x14ac:dyDescent="0.25">
      <c r="A7" s="3" t="s">
        <v>3</v>
      </c>
      <c r="B7" s="20">
        <v>-7.3999999999999996E-2</v>
      </c>
      <c r="C7" s="20">
        <v>-0.126</v>
      </c>
      <c r="D7" s="48">
        <v>-6.59E-2</v>
      </c>
      <c r="E7" s="20">
        <v>-5.8000000000000003E-2</v>
      </c>
      <c r="F7" s="35">
        <v>0.94469999999999998</v>
      </c>
      <c r="G7" s="20">
        <v>-7.5300000000000006E-2</v>
      </c>
      <c r="H7" s="20">
        <v>-0.20599999999999999</v>
      </c>
      <c r="I7" s="20">
        <v>-8.9700000000000002E-2</v>
      </c>
      <c r="J7" s="20">
        <v>-7.0999999999999994E-2</v>
      </c>
    </row>
    <row r="8" spans="1:14" x14ac:dyDescent="0.25">
      <c r="A8" s="3" t="s">
        <v>4</v>
      </c>
      <c r="B8" s="20">
        <v>-0.14799999999999999</v>
      </c>
      <c r="C8" s="20">
        <v>-0.252</v>
      </c>
      <c r="D8" s="48">
        <v>-0.18290000000000001</v>
      </c>
      <c r="E8" s="33">
        <v>-0.23</v>
      </c>
      <c r="F8" s="35">
        <v>0.39269999999999999</v>
      </c>
      <c r="G8" s="20">
        <v>-0.15060000000000001</v>
      </c>
      <c r="H8" s="20">
        <v>-0.41199999999999998</v>
      </c>
      <c r="I8" s="25">
        <v>-0.1794</v>
      </c>
      <c r="J8" s="20">
        <v>-0.182</v>
      </c>
    </row>
    <row r="9" spans="1:14" s="19" customFormat="1" ht="6.75" x14ac:dyDescent="0.15">
      <c r="A9" s="4"/>
      <c r="B9" s="22"/>
      <c r="C9" s="22"/>
      <c r="D9" s="49"/>
      <c r="E9" s="22"/>
      <c r="F9" s="36"/>
      <c r="G9" s="22"/>
      <c r="H9" s="22"/>
      <c r="I9" s="26"/>
      <c r="J9" s="22"/>
    </row>
    <row r="10" spans="1:14" x14ac:dyDescent="0.25">
      <c r="A10" s="3" t="s">
        <v>5</v>
      </c>
      <c r="B10" s="20">
        <v>-8.3000000000000004E-2</v>
      </c>
      <c r="C10" s="20">
        <v>-0.112</v>
      </c>
      <c r="D10" s="48">
        <v>-0.1173</v>
      </c>
      <c r="E10" s="20">
        <v>-9.8000000000000004E-2</v>
      </c>
      <c r="F10" s="46">
        <v>0.80800000000000005</v>
      </c>
      <c r="G10" s="20">
        <v>-7.1400000000000005E-2</v>
      </c>
      <c r="H10" s="20">
        <v>-9.2999999999999999E-2</v>
      </c>
      <c r="I10" s="25">
        <v>-0.1012</v>
      </c>
      <c r="J10" s="20">
        <v>-9.2999999999999999E-2</v>
      </c>
    </row>
    <row r="11" spans="1:14" x14ac:dyDescent="0.25">
      <c r="A11" s="3" t="s">
        <v>6</v>
      </c>
      <c r="B11" s="20">
        <v>-0.16600000000000001</v>
      </c>
      <c r="C11" s="20">
        <v>-0.224</v>
      </c>
      <c r="D11" s="48">
        <v>-0.15590000000000001</v>
      </c>
      <c r="E11" s="20">
        <v>-0.14299999999999999</v>
      </c>
      <c r="F11" s="35">
        <v>0.47020000000000001</v>
      </c>
      <c r="G11" s="20">
        <v>-0.14280000000000001</v>
      </c>
      <c r="H11" s="20">
        <v>-0.186</v>
      </c>
      <c r="I11" s="25">
        <v>-0.2024</v>
      </c>
      <c r="J11" s="20">
        <v>-0.14499999999999999</v>
      </c>
    </row>
    <row r="12" spans="1:14" s="19" customFormat="1" ht="6.75" x14ac:dyDescent="0.15">
      <c r="A12" s="4"/>
      <c r="B12" s="22"/>
      <c r="C12" s="22"/>
      <c r="D12" s="49"/>
      <c r="E12" s="22"/>
      <c r="F12" s="36"/>
      <c r="G12" s="22"/>
      <c r="H12" s="22"/>
      <c r="I12" s="26"/>
      <c r="J12" s="22"/>
    </row>
    <row r="13" spans="1:14" x14ac:dyDescent="0.25">
      <c r="A13" s="3" t="s">
        <v>7</v>
      </c>
      <c r="B13" s="20">
        <v>-3.1E-2</v>
      </c>
      <c r="C13" s="20">
        <v>-6.4000000000000001E-2</v>
      </c>
      <c r="D13" s="48">
        <v>-2.64E-2</v>
      </c>
      <c r="E13" s="20">
        <v>-4.7E-2</v>
      </c>
      <c r="F13" s="35">
        <v>0.88029999999999997</v>
      </c>
      <c r="G13" s="20">
        <v>-1.3599999999999999E-2</v>
      </c>
      <c r="H13" s="20">
        <v>-5.3999999999999999E-2</v>
      </c>
      <c r="I13" s="25">
        <v>-5.5100000000000003E-2</v>
      </c>
      <c r="J13" s="20">
        <v>-3.1E-2</v>
      </c>
    </row>
    <row r="14" spans="1:14" x14ac:dyDescent="0.25">
      <c r="A14" s="3" t="s">
        <v>8</v>
      </c>
      <c r="B14" s="20">
        <v>-6.2E-2</v>
      </c>
      <c r="C14" s="20">
        <v>-0.128</v>
      </c>
      <c r="D14" s="48">
        <v>-8.5999999999999993E-2</v>
      </c>
      <c r="E14" s="20">
        <v>-0.13100000000000001</v>
      </c>
      <c r="F14" s="35">
        <v>0.55379999999999996</v>
      </c>
      <c r="G14" s="20">
        <v>-2.7199999999999998E-2</v>
      </c>
      <c r="H14" s="20">
        <v>-0.108</v>
      </c>
      <c r="I14" s="25">
        <v>-0.11020000000000001</v>
      </c>
      <c r="J14" s="20">
        <v>-8.1000000000000003E-2</v>
      </c>
    </row>
    <row r="15" spans="1:14" s="19" customFormat="1" ht="6.75" x14ac:dyDescent="0.15">
      <c r="A15" s="4"/>
      <c r="B15" s="22"/>
      <c r="C15" s="22"/>
      <c r="D15" s="49"/>
      <c r="E15" s="22"/>
      <c r="F15" s="36"/>
      <c r="G15" s="22"/>
      <c r="H15" s="22"/>
      <c r="I15" s="26"/>
      <c r="J15" s="22"/>
    </row>
    <row r="16" spans="1:14" x14ac:dyDescent="0.25">
      <c r="A16" s="3" t="s">
        <v>9</v>
      </c>
      <c r="B16" s="20">
        <v>-8.4000000000000005E-2</v>
      </c>
      <c r="C16" s="20">
        <v>-7.8E-2</v>
      </c>
      <c r="D16" s="48">
        <v>-9.2999999999999999E-2</v>
      </c>
      <c r="E16" s="20">
        <v>-0.111</v>
      </c>
      <c r="F16" s="35">
        <v>0.97450000000000003</v>
      </c>
      <c r="G16" s="20">
        <v>-7.9799999999999996E-2</v>
      </c>
      <c r="H16" s="20">
        <v>-0.111</v>
      </c>
      <c r="I16" s="25">
        <v>-5.96E-2</v>
      </c>
      <c r="J16" s="20">
        <v>-8.4000000000000005E-2</v>
      </c>
    </row>
    <row r="17" spans="1:14" x14ac:dyDescent="0.25">
      <c r="A17" s="3" t="s">
        <v>10</v>
      </c>
      <c r="B17" s="20">
        <v>-0.16800000000000001</v>
      </c>
      <c r="C17" s="20">
        <v>-0.156</v>
      </c>
      <c r="D17" s="48">
        <v>-0.16370000000000001</v>
      </c>
      <c r="E17" s="20">
        <v>-0.153</v>
      </c>
      <c r="F17" s="35">
        <v>0.46710000000000002</v>
      </c>
      <c r="G17" s="20">
        <v>-0.15959999999999999</v>
      </c>
      <c r="H17" s="20">
        <v>-0.222</v>
      </c>
      <c r="I17" s="25">
        <v>-0.1192</v>
      </c>
      <c r="J17" s="20">
        <v>-0.17100000000000001</v>
      </c>
    </row>
    <row r="18" spans="1:14" s="19" customFormat="1" ht="6.75" x14ac:dyDescent="0.15">
      <c r="A18" s="4"/>
      <c r="B18" s="22"/>
      <c r="C18" s="22"/>
      <c r="D18" s="49"/>
      <c r="E18" s="22"/>
      <c r="F18" s="36"/>
      <c r="G18" s="22"/>
      <c r="H18" s="22"/>
      <c r="I18" s="26"/>
      <c r="J18" s="22"/>
    </row>
    <row r="19" spans="1:14" x14ac:dyDescent="0.25">
      <c r="A19" s="3" t="s">
        <v>11</v>
      </c>
      <c r="B19" s="20">
        <v>-0.10299999999999999</v>
      </c>
      <c r="C19" s="20">
        <v>-9.0999999999999998E-2</v>
      </c>
      <c r="D19" s="48">
        <v>-8.9099999999999999E-2</v>
      </c>
      <c r="E19" s="33">
        <v>-0.16</v>
      </c>
      <c r="F19" s="35">
        <v>0.81740000000000002</v>
      </c>
      <c r="G19" s="47">
        <v>-9.1999999999999998E-2</v>
      </c>
      <c r="H19" s="20">
        <v>-9.2999999999999999E-2</v>
      </c>
      <c r="I19" s="25">
        <v>-5.1200000000000002E-2</v>
      </c>
      <c r="J19" s="20">
        <v>-6.3E-2</v>
      </c>
    </row>
    <row r="20" spans="1:14" ht="16.5" thickBot="1" x14ac:dyDescent="0.3">
      <c r="A20" s="3" t="s">
        <v>12</v>
      </c>
      <c r="B20" s="20">
        <v>-0.20599999999999999</v>
      </c>
      <c r="C20" s="20">
        <v>-0.182</v>
      </c>
      <c r="D20" s="48">
        <v>-0.129</v>
      </c>
      <c r="E20" s="20">
        <v>-0.19600000000000001</v>
      </c>
      <c r="F20" s="37">
        <v>0.46820000000000001</v>
      </c>
      <c r="G20" s="47">
        <v>-0.184</v>
      </c>
      <c r="H20" s="20">
        <v>-0.186</v>
      </c>
      <c r="I20" s="25">
        <v>-0.1024</v>
      </c>
      <c r="J20" s="20">
        <v>-0.124</v>
      </c>
    </row>
    <row r="21" spans="1:14" ht="16.5" thickBot="1" x14ac:dyDescent="0.3">
      <c r="F21" s="50" t="s">
        <v>47</v>
      </c>
    </row>
    <row r="22" spans="1:14" x14ac:dyDescent="0.25">
      <c r="B22" s="52" t="e">
        <f>VAS!B2+(IF(#REF!+#REF!+#REF!+#REF!+#REF!&gt;5,1,0)*VAS!B4)+(IF(#REF!=3,1,IF(#REF!=3,1,IF(#REF!=3,1,IF(#REF!=3,1,IF(#REF!=3,1,0)))))*VAS!B5)+(IF(#REF!=2,1,0)*VAS!B7)+(IF(#REF!=3,1,0)*VAS!B8)+(IF(#REF!=2,1,0)*VAS!B10)+(IF(#REF!=3,1,0)*VAS!B11)+(IF(#REF!=2,1,0)*VAS!B13)+(IF(#REF!=3,1,0)*VAS!B14)+(IF(#REF!=2,1,0)*VAS!B16)+(IF(#REF!=3,1,0)*VAS!B17)+(IF(#REF!=2,1,0)*VAS!B19)+(IF(#REF!=3,1,0)*VAS!B20)</f>
        <v>#REF!</v>
      </c>
      <c r="C22" s="52" t="e">
        <f>VAS!C2+(IF(#REF!+#REF!+#REF!+#REF!+#REF!&gt;5,1,0)*VAS!C4)+(IF(#REF!=2,1,0)*VAS!C7)+(IF(#REF!=3,1,0)*VAS!C8)+(IF(#REF!=2,1,0)*VAS!C10)+(IF(#REF!=3,1,0)*VAS!C11)+(IF(#REF!=2,1,0)*VAS!C13)+(IF(#REF!=3,1,0)*VAS!C14)+(IF(#REF!=2,1,0)*VAS!C16)+(IF(#REF!=3,1,0)*VAS!C17)+(IF(#REF!=2,1,0)*VAS!C19)+(IF(#REF!=3,1,0)*VAS!C20)</f>
        <v>#REF!</v>
      </c>
      <c r="D22" s="52" t="e">
        <f>VAS!D2+(IF(#REF!+#REF!+#REF!+#REF!+#REF!&gt;5,1,0)*VAS!D4)+(IF(#REF!=3,1,IF(#REF!=3,1,IF(#REF!=3,1,IF(#REF!=3,1,IF(#REF!=3,1,0)))))*VAS!D5)+(IF(#REF!=2,1,0)*VAS!D7)+(IF(#REF!=3,1,0)*VAS!D8)+(IF(#REF!=2,1,0)*VAS!D10)+(IF(#REF!=3,1,0)*VAS!D11)+(IF(#REF!=2,1,0)*VAS!D13)+(IF(#REF!=3,1,0)*VAS!D14)+(IF(#REF!=2,1,0)*VAS!D16)+(IF(#REF!=3,1,0)*VAS!D17)+(IF(#REF!=2,1,0)*VAS!D19)+(IF(#REF!=3,1,0)*VAS!D20)</f>
        <v>#REF!</v>
      </c>
      <c r="E22" s="52" t="e">
        <f>VAS!E2+(IF(#REF!+#REF!+#REF!+#REF!+#REF!&gt;5,1,0)*VAS!E4)+(IF(#REF!=2,1,0)*VAS!E7)+(IF(#REF!=3,1,0)*VAS!E8)+(IF(#REF!=2,1,0)*VAS!E10)+(IF(#REF!=3,1,0)*VAS!E11)+(IF(#REF!=2,1,0)*VAS!E13)+(IF(#REF!=3,1,0)*VAS!E14)+(IF(#REF!=2,1,0)*VAS!E16)+(IF(#REF!=3,1,0)*VAS!E17)+(IF(#REF!=2,1,0)*VAS!E19)+(IF(#REF!=3,1,0)*VAS!E20)</f>
        <v>#REF!</v>
      </c>
      <c r="F22" s="52" t="e">
        <f>VAS!F2*(IF(#REF!+#REF!+#REF!+#REF!+#REF!&gt;5,F4,1))*(IF(#REF!=2,F7,1))*(IF(#REF!=3,F8,1))*(IF(#REF!=2,F10,1))*(IF(#REF!=3,F11,1))*(IF(#REF!=2,F13,1))*(IF(#REF!=3,F14,1))*(IF(#REF!=2,F16,1))*(IF(#REF!=3,F17,1))*(IF(#REF!=2,F19,1))*(IF(#REF!=3,F20,1))</f>
        <v>#REF!</v>
      </c>
      <c r="G22" s="52" t="e">
        <f>VAS!G2+(IF(#REF!+#REF!+#REF!+#REF!+#REF!&gt;5,1,0)*VAS!G4)+(IF(#REF!=3,1,IF(#REF!=3,1,IF(#REF!=3,1,IF(#REF!=3,1,IF(#REF!=3,1,0)))))*VAS!G5)+(IF(#REF!=2,1,0)*VAS!G7)+(IF(#REF!=3,1,0)*VAS!G8)+(IF(#REF!=2,1,0)*VAS!G10)+(IF(#REF!=3,1,0)*VAS!G11)+(IF(#REF!=2,1,0)*VAS!G13)+(IF(#REF!=3,1,0)*VAS!G14)+(IF(#REF!=2,1,0)*VAS!G16)+(IF(#REF!=3,1,0)*VAS!G17)+(IF(#REF!=2,1,0)*VAS!G19)+(IF(#REF!=3,1,0)*VAS!G20)</f>
        <v>#REF!</v>
      </c>
      <c r="H22" s="52" t="e">
        <f>VAS!H2+(IF(#REF!+#REF!+#REF!+#REF!+#REF!&gt;5,1,0)*VAS!H4)+(IF(#REF!=2,1,0)*VAS!H7)+(IF(#REF!=3,1,0)*VAS!H8)+(IF(#REF!=2,1,0)*VAS!H10)+(IF(#REF!=3,1,0)*VAS!H11)+(IF(#REF!=2,1,0)*VAS!H13)+(IF(#REF!=3,1,0)*VAS!H14)+(IF(#REF!=2,1,0)*VAS!H16)+(IF(#REF!=3,1,0)*VAS!H17)+(IF(#REF!=2,1,0)*VAS!H19)+(IF(#REF!=3,1,0)*VAS!H20)</f>
        <v>#REF!</v>
      </c>
      <c r="I22" s="52" t="e">
        <f>VAS!I2+(IF(#REF!+#REF!+#REF!+#REF!+#REF!&gt;5,1,0)*VAS!I4)+(IF(#REF!=3,1,IF(#REF!=3,1,IF(#REF!=3,1,IF(#REF!=3,1,IF(#REF!=3,1,0)))))*VAS!I5)+(IF(#REF!=2,1,0)*VAS!I7)+(IF(#REF!=3,1,0)*VAS!I8)+(IF(#REF!=2,1,0)*VAS!I10)+(IF(#REF!=3,1,0)*VAS!I11)+(IF(#REF!=2,1,0)*VAS!I13)+(IF(#REF!=3,1,0)*VAS!I14)+(IF(#REF!=2,1,0)*VAS!I16)+(IF(#REF!=3,1,0)*VAS!I17)+(IF(#REF!=2,1,0)*VAS!I19)+(IF(#REF!=3,1,0)*VAS!I20)</f>
        <v>#REF!</v>
      </c>
      <c r="J22" s="18" t="e">
        <f>VAS!J2+(IF(#REF!+#REF!+#REF!+#REF!+#REF!&gt;5,1,0)*VAS!J4)+(IF(#REF!=3,1,IF(#REF!=3,1,IF(#REF!=3,1,IF(#REF!=3,1,IF(#REF!=3,1,0)))))*VAS!J5)+(IF(#REF!=2,1,0)*VAS!J7)+(IF(#REF!=3,1,0)*VAS!J8)+(IF(#REF!=2,1,0)*VAS!J10)+(IF(#REF!=3,1,0)*VAS!J11)+(IF(#REF!=2,1,0)*VAS!J13)+(IF(#REF!=3,1,0)*VAS!J14)+(IF(#REF!=2,1,0)*VAS!J16)+(IF(#REF!=3,1,0)*VAS!J17)+(IF(#REF!=2,1,0)*VAS!J19)+(IF(#REF!=3,1,0)*VAS!J20)</f>
        <v>#REF!</v>
      </c>
      <c r="K22" s="18" t="s">
        <v>54</v>
      </c>
      <c r="L22" s="18" t="s">
        <v>54</v>
      </c>
      <c r="M22" s="18" t="s">
        <v>54</v>
      </c>
      <c r="N22" s="18" t="s">
        <v>54</v>
      </c>
    </row>
  </sheetData>
  <phoneticPr fontId="5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1"/>
  <sheetViews>
    <sheetView workbookViewId="0">
      <selection activeCell="C5" sqref="C5"/>
    </sheetView>
  </sheetViews>
  <sheetFormatPr defaultRowHeight="12.75" x14ac:dyDescent="0.2"/>
  <cols>
    <col min="1" max="1" width="26.5703125" customWidth="1"/>
    <col min="2" max="4" width="13.28515625" customWidth="1"/>
    <col min="5" max="5" width="17.42578125" customWidth="1"/>
    <col min="6" max="10" width="13.28515625" customWidth="1"/>
  </cols>
  <sheetData>
    <row r="1" spans="1:14" ht="16.5" thickBot="1" x14ac:dyDescent="0.3">
      <c r="A1" s="27" t="s">
        <v>41</v>
      </c>
      <c r="B1" s="28" t="s">
        <v>30</v>
      </c>
      <c r="C1" s="28" t="s">
        <v>32</v>
      </c>
      <c r="D1" s="28" t="s">
        <v>39</v>
      </c>
      <c r="E1" s="28" t="s">
        <v>52</v>
      </c>
      <c r="F1" s="28" t="s">
        <v>36</v>
      </c>
      <c r="G1" s="28" t="s">
        <v>37</v>
      </c>
      <c r="H1" s="34" t="s">
        <v>53</v>
      </c>
      <c r="I1" s="28" t="s">
        <v>40</v>
      </c>
      <c r="J1" s="54" t="s">
        <v>29</v>
      </c>
      <c r="K1" s="54" t="s">
        <v>31</v>
      </c>
      <c r="L1" s="54" t="s">
        <v>33</v>
      </c>
      <c r="M1" s="54" t="s">
        <v>35</v>
      </c>
      <c r="N1" s="54" t="s">
        <v>13</v>
      </c>
    </row>
    <row r="2" spans="1:14" ht="15.75" x14ac:dyDescent="0.2">
      <c r="A2" s="3" t="s">
        <v>0</v>
      </c>
      <c r="B2" s="55">
        <v>1</v>
      </c>
      <c r="C2" s="20">
        <v>1</v>
      </c>
      <c r="D2" s="20">
        <v>1</v>
      </c>
      <c r="E2" s="20">
        <v>1</v>
      </c>
      <c r="F2" s="20">
        <v>1</v>
      </c>
      <c r="G2" s="20">
        <v>1</v>
      </c>
      <c r="H2" s="60">
        <v>1</v>
      </c>
      <c r="I2" s="20">
        <v>1</v>
      </c>
    </row>
    <row r="3" spans="1:14" s="29" customFormat="1" ht="6.75" x14ac:dyDescent="0.15">
      <c r="A3" s="4"/>
      <c r="B3" s="56"/>
      <c r="C3" s="22"/>
      <c r="D3" s="22"/>
      <c r="E3" s="22"/>
      <c r="F3" s="22"/>
      <c r="G3" s="22"/>
      <c r="H3" s="61"/>
      <c r="I3" s="22"/>
    </row>
    <row r="4" spans="1:14" ht="15.75" x14ac:dyDescent="0.2">
      <c r="A4" s="3" t="s">
        <v>1</v>
      </c>
      <c r="B4" s="57">
        <v>-0.114</v>
      </c>
      <c r="C4" s="20">
        <v>-1E-3</v>
      </c>
      <c r="D4" s="20">
        <v>-0.152</v>
      </c>
      <c r="E4" s="20">
        <v>-7.0999999999999994E-2</v>
      </c>
      <c r="F4" s="20">
        <v>-2.4E-2</v>
      </c>
      <c r="G4" s="20">
        <v>-8.1000000000000003E-2</v>
      </c>
      <c r="H4" s="62" t="s">
        <v>34</v>
      </c>
      <c r="I4" s="33">
        <v>-0.1</v>
      </c>
    </row>
    <row r="5" spans="1:14" ht="15.75" x14ac:dyDescent="0.2">
      <c r="A5" s="3" t="s">
        <v>2</v>
      </c>
      <c r="B5" s="58" t="s">
        <v>34</v>
      </c>
      <c r="C5" s="20">
        <v>-0.32300000000000001</v>
      </c>
      <c r="D5" s="24" t="s">
        <v>34</v>
      </c>
      <c r="E5" s="20">
        <v>-0.23400000000000001</v>
      </c>
      <c r="F5" s="20">
        <v>-0.29099999999999998</v>
      </c>
      <c r="G5" s="20">
        <v>-0.26900000000000002</v>
      </c>
      <c r="H5" s="62" t="s">
        <v>34</v>
      </c>
      <c r="I5" s="24" t="s">
        <v>34</v>
      </c>
    </row>
    <row r="6" spans="1:14" s="30" customFormat="1" ht="15.75" x14ac:dyDescent="0.25">
      <c r="A6" s="4"/>
      <c r="B6" s="56"/>
      <c r="C6" s="22"/>
      <c r="D6" s="22"/>
      <c r="E6" s="22"/>
      <c r="F6" s="22"/>
      <c r="G6" s="22"/>
      <c r="H6" s="63"/>
      <c r="I6" s="22"/>
    </row>
    <row r="7" spans="1:14" ht="15.75" x14ac:dyDescent="0.25">
      <c r="A7" s="3" t="s">
        <v>3</v>
      </c>
      <c r="B7" s="57">
        <v>-5.2999999999999999E-2</v>
      </c>
      <c r="C7" s="20">
        <v>-9.9000000000000005E-2</v>
      </c>
      <c r="D7" s="20">
        <v>-7.4999999999999997E-2</v>
      </c>
      <c r="E7" s="20">
        <v>-3.5999999999999997E-2</v>
      </c>
      <c r="F7" s="20">
        <v>-0.106</v>
      </c>
      <c r="G7" s="20">
        <v>-6.9000000000000006E-2</v>
      </c>
      <c r="H7" s="66">
        <v>-0.14601600000000001</v>
      </c>
      <c r="I7" s="20">
        <v>-5.6000000000000001E-2</v>
      </c>
    </row>
    <row r="8" spans="1:14" ht="15.75" x14ac:dyDescent="0.25">
      <c r="A8" s="3" t="s">
        <v>4</v>
      </c>
      <c r="B8" s="57">
        <v>-0.41099999999999998</v>
      </c>
      <c r="C8" s="20">
        <v>-0.32900000000000001</v>
      </c>
      <c r="D8" s="20">
        <v>-0.41799999999999998</v>
      </c>
      <c r="E8" s="20">
        <v>-0.161</v>
      </c>
      <c r="F8" s="20">
        <v>-0.43</v>
      </c>
      <c r="G8" s="20">
        <v>-0.314</v>
      </c>
      <c r="H8" s="66">
        <v>-0.55768499999999999</v>
      </c>
      <c r="I8" s="20">
        <v>-0.20399999999999999</v>
      </c>
      <c r="M8" s="53"/>
    </row>
    <row r="9" spans="1:14" s="30" customFormat="1" ht="15.75" x14ac:dyDescent="0.2">
      <c r="A9" s="4"/>
      <c r="B9" s="56"/>
      <c r="C9" s="22"/>
      <c r="D9" s="22"/>
      <c r="E9" s="22"/>
      <c r="F9" s="22"/>
      <c r="G9" s="22"/>
      <c r="H9" s="67"/>
      <c r="I9" s="22"/>
      <c r="M9" s="53"/>
    </row>
    <row r="10" spans="1:14" ht="15.75" x14ac:dyDescent="0.25">
      <c r="A10" s="3" t="s">
        <v>5</v>
      </c>
      <c r="B10" s="57">
        <v>-6.3E-2</v>
      </c>
      <c r="C10" s="20">
        <v>-8.6999999999999994E-2</v>
      </c>
      <c r="D10" s="20">
        <v>-5.3999999999999999E-2</v>
      </c>
      <c r="E10" s="20">
        <v>-8.2000000000000003E-2</v>
      </c>
      <c r="F10" s="20">
        <v>-0.13400000000000001</v>
      </c>
      <c r="G10" s="20">
        <v>-0.104</v>
      </c>
      <c r="H10" s="66">
        <v>-0.17534250000000001</v>
      </c>
      <c r="I10" s="20">
        <v>-9.1999999999999998E-2</v>
      </c>
      <c r="M10" s="53"/>
    </row>
    <row r="11" spans="1:14" ht="15.75" x14ac:dyDescent="0.25">
      <c r="A11" s="3" t="s">
        <v>6</v>
      </c>
      <c r="B11" s="57">
        <v>-0.192</v>
      </c>
      <c r="C11" s="20">
        <v>-0.17399999999999999</v>
      </c>
      <c r="D11" s="20">
        <v>-0.10199999999999999</v>
      </c>
      <c r="E11" s="20">
        <v>-0.152</v>
      </c>
      <c r="F11" s="20">
        <v>-0.309</v>
      </c>
      <c r="G11" s="20">
        <v>-0.214</v>
      </c>
      <c r="H11" s="66">
        <v>-0.47118959999999999</v>
      </c>
      <c r="I11" s="20">
        <v>-0.23100000000000001</v>
      </c>
      <c r="M11" s="53"/>
    </row>
    <row r="12" spans="1:14" s="30" customFormat="1" ht="15.75" x14ac:dyDescent="0.2">
      <c r="A12" s="4"/>
      <c r="B12" s="56"/>
      <c r="C12" s="22"/>
      <c r="D12" s="22"/>
      <c r="E12" s="22"/>
      <c r="F12" s="22"/>
      <c r="G12" s="22"/>
      <c r="H12" s="67"/>
      <c r="I12" s="22"/>
      <c r="M12" s="53"/>
    </row>
    <row r="13" spans="1:14" ht="15.75" x14ac:dyDescent="0.25">
      <c r="A13" s="3" t="s">
        <v>7</v>
      </c>
      <c r="B13" s="57">
        <v>-4.8000000000000001E-2</v>
      </c>
      <c r="C13" s="24" t="s">
        <v>34</v>
      </c>
      <c r="D13" s="20">
        <v>-4.3999999999999997E-2</v>
      </c>
      <c r="E13" s="20">
        <v>-3.2000000000000001E-2</v>
      </c>
      <c r="F13" s="20">
        <v>-7.0999999999999994E-2</v>
      </c>
      <c r="G13" s="20">
        <v>-3.5999999999999997E-2</v>
      </c>
      <c r="H13" s="66">
        <v>-0.13972950000000001</v>
      </c>
      <c r="I13" s="20">
        <v>-4.2999999999999997E-2</v>
      </c>
      <c r="M13" s="53"/>
    </row>
    <row r="14" spans="1:14" ht="15.75" x14ac:dyDescent="0.25">
      <c r="A14" s="3" t="s">
        <v>8</v>
      </c>
      <c r="B14" s="57">
        <v>-0.14399999999999999</v>
      </c>
      <c r="C14" s="24" t="s">
        <v>34</v>
      </c>
      <c r="D14" s="20">
        <v>-0.13300000000000001</v>
      </c>
      <c r="E14" s="20">
        <v>-5.7000000000000002E-2</v>
      </c>
      <c r="F14" s="20">
        <v>-0.19500000000000001</v>
      </c>
      <c r="G14" s="20">
        <v>-9.4E-2</v>
      </c>
      <c r="H14" s="66">
        <v>-0.37425940000000002</v>
      </c>
      <c r="I14" s="20">
        <v>-0.13500000000000001</v>
      </c>
      <c r="M14" s="53"/>
    </row>
    <row r="15" spans="1:14" s="30" customFormat="1" ht="15.75" x14ac:dyDescent="0.2">
      <c r="A15" s="4"/>
      <c r="B15" s="56"/>
      <c r="C15" s="22"/>
      <c r="D15" s="22"/>
      <c r="E15" s="22"/>
      <c r="F15" s="22"/>
      <c r="G15" s="22"/>
      <c r="H15" s="67"/>
      <c r="I15" s="22"/>
      <c r="M15" s="53"/>
    </row>
    <row r="16" spans="1:14" ht="15.75" x14ac:dyDescent="0.25">
      <c r="A16" s="3" t="s">
        <v>9</v>
      </c>
      <c r="B16" s="57">
        <v>-6.2E-2</v>
      </c>
      <c r="C16" s="20">
        <v>-0.112</v>
      </c>
      <c r="D16" s="20">
        <v>-0.08</v>
      </c>
      <c r="E16" s="20">
        <v>-8.5999999999999993E-2</v>
      </c>
      <c r="F16" s="20">
        <v>-8.8999999999999996E-2</v>
      </c>
      <c r="G16" s="20">
        <v>-0.123</v>
      </c>
      <c r="H16" s="66">
        <v>-0.17289070000000001</v>
      </c>
      <c r="I16" s="20">
        <v>-6.7000000000000004E-2</v>
      </c>
      <c r="M16" s="53"/>
    </row>
    <row r="17" spans="1:14" ht="15.75" x14ac:dyDescent="0.25">
      <c r="A17" s="3" t="s">
        <v>10</v>
      </c>
      <c r="B17" s="57">
        <v>-0.39600000000000002</v>
      </c>
      <c r="C17" s="20">
        <v>-0.315</v>
      </c>
      <c r="D17" s="20">
        <v>-0.19400000000000001</v>
      </c>
      <c r="E17" s="20">
        <v>-0.32900000000000001</v>
      </c>
      <c r="F17" s="20">
        <v>-0.26100000000000001</v>
      </c>
      <c r="G17" s="20">
        <v>-0.38600000000000001</v>
      </c>
      <c r="H17" s="66">
        <v>-0.5371011</v>
      </c>
      <c r="I17" s="20">
        <v>-0.30199999999999999</v>
      </c>
      <c r="M17" s="53"/>
    </row>
    <row r="18" spans="1:14" s="30" customFormat="1" ht="15.75" x14ac:dyDescent="0.2">
      <c r="A18" s="4"/>
      <c r="B18" s="56"/>
      <c r="C18" s="22"/>
      <c r="D18" s="22"/>
      <c r="E18" s="22"/>
      <c r="F18" s="22"/>
      <c r="G18" s="22"/>
      <c r="H18" s="67"/>
      <c r="I18" s="22"/>
      <c r="M18" s="53"/>
    </row>
    <row r="19" spans="1:14" ht="15.75" x14ac:dyDescent="0.25">
      <c r="A19" s="3" t="s">
        <v>11</v>
      </c>
      <c r="B19" s="57">
        <v>-6.8000000000000005E-2</v>
      </c>
      <c r="C19" s="24" t="s">
        <v>34</v>
      </c>
      <c r="D19" s="20">
        <v>-6.3E-2</v>
      </c>
      <c r="E19" s="20">
        <v>-0.124</v>
      </c>
      <c r="F19" s="20">
        <v>-6.2E-2</v>
      </c>
      <c r="G19" s="20">
        <v>-7.0999999999999994E-2</v>
      </c>
      <c r="H19" s="66">
        <v>-0.156223</v>
      </c>
      <c r="I19" s="20">
        <v>-4.5999999999999999E-2</v>
      </c>
    </row>
    <row r="20" spans="1:14" ht="15.75" x14ac:dyDescent="0.25">
      <c r="A20" s="3" t="s">
        <v>12</v>
      </c>
      <c r="B20" s="57">
        <v>-0.36699999999999999</v>
      </c>
      <c r="C20" s="20">
        <v>-6.5000000000000002E-2</v>
      </c>
      <c r="D20" s="20">
        <v>-0.112</v>
      </c>
      <c r="E20" s="20">
        <v>-0.32500000000000001</v>
      </c>
      <c r="F20" s="20">
        <v>-0.14399999999999999</v>
      </c>
      <c r="G20" s="20">
        <v>-0.23599999999999999</v>
      </c>
      <c r="H20" s="66">
        <v>-0.45018760000000002</v>
      </c>
      <c r="I20" s="20">
        <v>-0.17299999999999999</v>
      </c>
    </row>
    <row r="21" spans="1:14" ht="16.5" thickBot="1" x14ac:dyDescent="0.3">
      <c r="G21" s="44"/>
      <c r="H21" s="68"/>
      <c r="I21" s="44"/>
      <c r="J21" s="44"/>
      <c r="K21" s="44"/>
      <c r="L21" s="44"/>
      <c r="M21" s="44"/>
      <c r="N21" s="44"/>
    </row>
    <row r="22" spans="1:14" ht="15.75" x14ac:dyDescent="0.25">
      <c r="A22" s="31" t="s">
        <v>42</v>
      </c>
      <c r="B22" s="38"/>
      <c r="C22" s="39"/>
      <c r="D22" s="39"/>
      <c r="E22" s="39"/>
      <c r="F22" s="39"/>
      <c r="G22" s="40"/>
      <c r="H22" s="66">
        <v>0.13959489999999999</v>
      </c>
    </row>
    <row r="23" spans="1:14" ht="15.75" x14ac:dyDescent="0.25">
      <c r="A23" s="32" t="s">
        <v>43</v>
      </c>
      <c r="B23" s="20"/>
      <c r="C23" s="40"/>
      <c r="D23" s="40"/>
      <c r="E23" s="40"/>
      <c r="F23" s="40"/>
      <c r="G23" s="40"/>
      <c r="H23" s="66">
        <v>-1.06868E-2</v>
      </c>
    </row>
    <row r="24" spans="1:14" s="30" customFormat="1" ht="15.75" x14ac:dyDescent="0.25">
      <c r="A24" s="32" t="s">
        <v>44</v>
      </c>
      <c r="B24" s="22"/>
      <c r="C24" s="41"/>
      <c r="D24" s="41"/>
      <c r="E24" s="41"/>
      <c r="F24" s="41"/>
      <c r="G24" s="41"/>
      <c r="H24" s="66">
        <v>0.1215579</v>
      </c>
    </row>
    <row r="25" spans="1:14" ht="16.5" thickBot="1" x14ac:dyDescent="0.3">
      <c r="A25" s="42" t="s">
        <v>45</v>
      </c>
      <c r="B25" s="43"/>
      <c r="C25" s="44"/>
      <c r="D25" s="44"/>
      <c r="E25" s="44"/>
      <c r="F25" s="44"/>
      <c r="G25" s="44"/>
      <c r="H25" s="68">
        <v>1.47963E-2</v>
      </c>
      <c r="I25" s="44"/>
    </row>
    <row r="27" spans="1:14" ht="15.75" x14ac:dyDescent="0.25">
      <c r="B27" s="52" t="e">
        <f>TTO!B2+(IF(#REF!+#REF!+#REF!+#REF!+#REF!&gt;5,1,0)*TTO!B4)+(IF(#REF!=2,1,0)*TTO!B7)+(IF(#REF!=3,1,0)*TTO!B8)+(IF(#REF!=2,1,0)*TTO!B10)+(IF(#REF!=3,1,0)*TTO!B11)+(IF(#REF!=2,1,0)*TTO!B13)+(IF(#REF!=3,1,0)*TTO!B14)+(IF(#REF!=2,1,0)*TTO!B16)+(IF(#REF!=3,1,0)*TTO!B17)+(IF(#REF!=2,1,0)*TTO!B19)+(IF(#REF!=3,1,0)*TTO!B20)</f>
        <v>#REF!</v>
      </c>
      <c r="C27" s="52" t="e">
        <f>TTO!C2+(IF(#REF!+#REF!+#REF!+#REF!+#REF!&gt;5,1,0)*TTO!C4)+(IF(#REF!=3,1,IF(#REF!=3,1,IF(#REF!=3,1,IF(#REF!=3,1,IF(#REF!=3,1,0)))))*TTO!C5)+(IF(#REF!=2,1,0)*TTO!C7)+(IF(#REF!=3,1,0)*TTO!C8)+(IF(#REF!=2,1,0)*TTO!C10)+(IF(#REF!=3,1,0)*TTO!C11)+(IF(#REF!=2,1,0)*TTO!C16)+(IF(#REF!=3,1,0)*TTO!C17)+(IF(#REF!=3,1,0)*TTO!C20)</f>
        <v>#REF!</v>
      </c>
      <c r="D27" s="52" t="e">
        <f>TTO!D2+(IF(#REF!+#REF!+#REF!+#REF!+#REF!&gt;5,1,0)*TTO!D4)+(IF(#REF!=2,1,0)*TTO!D7)+(IF(#REF!=3,1,0)*TTO!D8)+(IF(#REF!=2,1,0)*TTO!D10)+(IF(#REF!=3,1,0)*TTO!D11)+(IF(#REF!=2,1,0)*TTO!D13)+(IF(#REF!=3,1,0)*TTO!D14)+(IF(#REF!=2,1,0)*TTO!D16)+(IF(#REF!=3,1,0)*TTO!D17)+(IF(#REF!=2,1,0)*TTO!D19)+(IF(#REF!=3,1,0)*TTO!D20)</f>
        <v>#REF!</v>
      </c>
      <c r="E27" s="52" t="e">
        <f>TTO!E2+(IF(#REF!+#REF!+#REF!+#REF!+#REF!&gt;5,1,0)*TTO!E4)+(IF(#REF!=3,1,IF(#REF!=3,1,IF(#REF!=3,1,IF(#REF!=3,1,IF(#REF!=3,1,0)))))*TTO!E5)+(IF(#REF!=2,1,0)*TTO!E7)+(IF(#REF!=3,1,0)*TTO!E8)+(IF(#REF!=2,1,0)*TTO!E10)+(IF(#REF!=3,1,0)*TTO!E11)+(IF(#REF!=2,1,0)*TTO!E13)+(IF(#REF!=3,1,0)*TTO!E14)+(IF(#REF!=2,1,0)*TTO!E16)+(IF(#REF!=3,1,0)*TTO!E17)+(IF(#REF!=2,1,0)*TTO!E19)+(IF(#REF!=3,1,0)*TTO!E20)</f>
        <v>#REF!</v>
      </c>
      <c r="F27" s="52" t="e">
        <f>TTO!F2+(IF(#REF!+#REF!+#REF!+#REF!+#REF!&gt;5,1,0)*TTO!F4)+(IF(#REF!=3,1,IF(#REF!=3,1,IF(#REF!=3,1,IF(#REF!=3,1,IF(#REF!=3,1,0)))))*TTO!F5)+(IF(#REF!=2,1,0)*TTO!F7)+(IF(#REF!=3,1,0)*TTO!F8)+(IF(#REF!=2,1,0)*TTO!F10)+(IF(#REF!=3,1,0)*TTO!F11)+(IF(#REF!=2,1,0)*TTO!F13)+(IF(#REF!=3,1,0)*TTO!F14)+(IF(#REF!=2,1,0)*TTO!F16)+(IF(#REF!=3,1,0)*TTO!F17)+(IF(#REF!=2,1,0)*TTO!F19)+(IF(#REF!=3,1,0)*TTO!F20)</f>
        <v>#REF!</v>
      </c>
      <c r="G27" s="52" t="e">
        <f>TTO!G2+(IF(#REF!+#REF!+#REF!+#REF!+#REF!&gt;5,1,0)*TTO!G4)+(IF(#REF!=3,1,IF(#REF!=3,1,IF(#REF!=3,1,IF(#REF!=3,1,IF(#REF!=3,1,0)))))*TTO!G5)+(IF(#REF!=2,1,0)*TTO!G7)+(IF(#REF!=3,1,0)*TTO!G8)+(IF(#REF!=2,1,0)*TTO!G10)+(IF(#REF!=3,1,0)*TTO!G11)+(IF(#REF!=2,1,0)*TTO!G13)+(IF(#REF!=3,1,0)*TTO!G14)+(IF(#REF!=2,1,0)*TTO!G16)+(IF(#REF!=3,1,0)*TTO!G17)+(IF(#REF!=2,1,0)*TTO!G19)+(IF(#REF!=3,1,0)*TTO!G20)</f>
        <v>#REF!</v>
      </c>
      <c r="H27" s="52" t="e">
        <f>TTO!H2+(IF(#REF!=2,1,0)*TTO!H7)+(IF(#REF!=3,1,0)*TTO!H8)+(IF(#REF!=2,1,0)*TTO!H10)+(IF(#REF!=3,1,0)*TTO!H11)+(IF(#REF!=2,1,0)*TTO!H13)+(IF(#REF!=3,1,0)*TTO!H14)+(IF(#REF!=2,1,0)*TTO!H16)+(IF(#REF!=3,1,0)*TTO!H17)+(IF(#REF!=2,1,0)*TTO!H19)+(IF(#REF!=3,1,0)*TTO!H20)+G29*H22+G45*H23+G36*H24+G43*H25</f>
        <v>#REF!</v>
      </c>
      <c r="I27" s="52" t="e">
        <f>TTO!I2+(IF(#REF!+#REF!+#REF!+#REF!+#REF!&gt;5,1,0)*TTO!I4)+(IF(#REF!=2,1,0)*TTO!I7)+(IF(#REF!=3,1,0)*TTO!I8)+(IF(#REF!=2,1,0)*TTO!I10)+(IF(#REF!=3,1,0)*TTO!I11)+(IF(#REF!=2,1,0)*TTO!I13)+(IF(#REF!=3,1,0)*TTO!I14)+(IF(#REF!=2,1,0)*TTO!I16)+(IF(#REF!=3,1,0)*TTO!I17)+(IF(#REF!=2,1,0)*TTO!I19)+(IF(#REF!=3,1,0)*TTO!I20)</f>
        <v>#REF!</v>
      </c>
      <c r="J27" s="18" t="s">
        <v>54</v>
      </c>
      <c r="K27" s="18" t="s">
        <v>54</v>
      </c>
      <c r="L27" s="18" t="s">
        <v>54</v>
      </c>
      <c r="M27" s="18" t="s">
        <v>54</v>
      </c>
      <c r="N27" s="18" t="s">
        <v>54</v>
      </c>
    </row>
    <row r="29" spans="1:14" x14ac:dyDescent="0.2">
      <c r="F29" t="s">
        <v>48</v>
      </c>
      <c r="G29" t="e">
        <f>IF(F30+F31+F32+F33+F34-1&gt;0,F30+F31+F32+F33+F34-1,0)</f>
        <v>#REF!</v>
      </c>
    </row>
    <row r="30" spans="1:14" x14ac:dyDescent="0.2">
      <c r="F30" t="e">
        <f>IF(#REF!&gt;1,1,0)</f>
        <v>#REF!</v>
      </c>
    </row>
    <row r="31" spans="1:14" x14ac:dyDescent="0.2">
      <c r="F31" t="e">
        <f>IF(#REF!&gt;1,1,0)</f>
        <v>#REF!</v>
      </c>
    </row>
    <row r="32" spans="1:14" x14ac:dyDescent="0.2">
      <c r="F32" t="e">
        <f>IF(#REF!&gt;1,1,0)</f>
        <v>#REF!</v>
      </c>
    </row>
    <row r="33" spans="6:7" x14ac:dyDescent="0.2">
      <c r="F33" t="e">
        <f>IF(#REF!&gt;1,1,0)</f>
        <v>#REF!</v>
      </c>
    </row>
    <row r="34" spans="6:7" x14ac:dyDescent="0.2">
      <c r="F34" t="e">
        <f>IF(#REF!&gt;1,1,0)</f>
        <v>#REF!</v>
      </c>
    </row>
    <row r="36" spans="6:7" x14ac:dyDescent="0.2">
      <c r="F36" t="s">
        <v>49</v>
      </c>
      <c r="G36" t="e">
        <f>IF(F37+F38+F39+F40+F41-1&gt;0,F37+F38+F39+F40+F41-1,0)</f>
        <v>#REF!</v>
      </c>
    </row>
    <row r="37" spans="6:7" x14ac:dyDescent="0.2">
      <c r="F37" t="e">
        <f>IF(#REF!=3,1,0)</f>
        <v>#REF!</v>
      </c>
    </row>
    <row r="38" spans="6:7" x14ac:dyDescent="0.2">
      <c r="F38" t="e">
        <f>IF(#REF!=3,1,0)</f>
        <v>#REF!</v>
      </c>
    </row>
    <row r="39" spans="6:7" x14ac:dyDescent="0.2">
      <c r="F39" t="e">
        <f>IF(#REF!=3,1,0)</f>
        <v>#REF!</v>
      </c>
    </row>
    <row r="40" spans="6:7" x14ac:dyDescent="0.2">
      <c r="F40" t="e">
        <f>IF(#REF!=3,1,0)</f>
        <v>#REF!</v>
      </c>
    </row>
    <row r="41" spans="6:7" x14ac:dyDescent="0.2">
      <c r="F41" t="e">
        <f>IF(#REF!=3,1,0)</f>
        <v>#REF!</v>
      </c>
    </row>
    <row r="43" spans="6:7" x14ac:dyDescent="0.2">
      <c r="F43" t="s">
        <v>50</v>
      </c>
      <c r="G43" t="e">
        <f>G36*G36</f>
        <v>#REF!</v>
      </c>
    </row>
    <row r="45" spans="6:7" x14ac:dyDescent="0.2">
      <c r="F45" t="s">
        <v>51</v>
      </c>
      <c r="G45" t="e">
        <f>F51*F51</f>
        <v>#REF!</v>
      </c>
    </row>
    <row r="46" spans="6:7" x14ac:dyDescent="0.2">
      <c r="F46" t="e">
        <f>IF(#REF!=2,1,0)</f>
        <v>#REF!</v>
      </c>
    </row>
    <row r="47" spans="6:7" x14ac:dyDescent="0.2">
      <c r="F47" t="e">
        <f>IF(#REF!=2,1,0)</f>
        <v>#REF!</v>
      </c>
    </row>
    <row r="48" spans="6:7" x14ac:dyDescent="0.2">
      <c r="F48" t="e">
        <f>IF(#REF!=2,1,0)</f>
        <v>#REF!</v>
      </c>
    </row>
    <row r="49" spans="6:6" x14ac:dyDescent="0.2">
      <c r="F49" t="e">
        <f>IF(#REF!=2,1,0)</f>
        <v>#REF!</v>
      </c>
    </row>
    <row r="50" spans="6:6" x14ac:dyDescent="0.2">
      <c r="F50" t="e">
        <f>IF(#REF!=2,1,0)</f>
        <v>#REF!</v>
      </c>
    </row>
    <row r="51" spans="6:6" x14ac:dyDescent="0.2">
      <c r="F51" t="e">
        <f>IF(F46+F47+F48+F49+F50-1&gt;0,F46+F47+F48+F49+F50-1,0)</f>
        <v>#REF!</v>
      </c>
    </row>
  </sheetData>
  <phoneticPr fontId="5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31"/>
  <sheetViews>
    <sheetView workbookViewId="0">
      <selection activeCell="C5" sqref="C5"/>
    </sheetView>
  </sheetViews>
  <sheetFormatPr defaultRowHeight="12.75" x14ac:dyDescent="0.2"/>
  <cols>
    <col min="1" max="1" width="26.7109375" style="5" customWidth="1"/>
    <col min="2" max="2" width="10.7109375" style="5" customWidth="1"/>
    <col min="3" max="3" width="16" style="5" customWidth="1"/>
    <col min="4" max="4" width="13.28515625" style="5" customWidth="1"/>
    <col min="5" max="5" width="11" style="5" customWidth="1"/>
    <col min="6" max="16384" width="9.140625" style="5"/>
  </cols>
  <sheetData>
    <row r="2" spans="1:4" ht="15.75" x14ac:dyDescent="0.25">
      <c r="A2" s="11" t="s">
        <v>13</v>
      </c>
      <c r="B2" s="11" t="s">
        <v>14</v>
      </c>
      <c r="C2" s="11" t="s">
        <v>15</v>
      </c>
      <c r="D2" s="11" t="s">
        <v>16</v>
      </c>
    </row>
    <row r="3" spans="1:4" ht="15.75" x14ac:dyDescent="0.25">
      <c r="A3" s="3" t="s">
        <v>0</v>
      </c>
      <c r="B3" s="2">
        <v>97.66</v>
      </c>
      <c r="C3" s="9">
        <v>1</v>
      </c>
      <c r="D3" s="9">
        <v>1</v>
      </c>
    </row>
    <row r="4" spans="1:4" s="7" customFormat="1" ht="6.75" x14ac:dyDescent="0.15">
      <c r="A4" s="4"/>
      <c r="B4" s="1"/>
      <c r="C4" s="6"/>
      <c r="D4" s="6"/>
    </row>
    <row r="5" spans="1:4" ht="15.75" x14ac:dyDescent="0.25">
      <c r="A5" s="3" t="s">
        <v>1</v>
      </c>
      <c r="B5" s="2">
        <v>-11.21</v>
      </c>
      <c r="C5" s="8">
        <f>$B5/($B$3-10)</f>
        <v>-0.12788044718229524</v>
      </c>
      <c r="D5" s="8">
        <f>$B5/($B$3-2)</f>
        <v>-0.11718586661091367</v>
      </c>
    </row>
    <row r="6" spans="1:4" ht="15.75" x14ac:dyDescent="0.25">
      <c r="A6" s="3" t="s">
        <v>2</v>
      </c>
      <c r="B6" s="2">
        <v>-20.059999999999999</v>
      </c>
      <c r="C6" s="8">
        <f t="shared" ref="C6:C21" si="0">$B6/($B$3-10)</f>
        <v>-0.22883869495779147</v>
      </c>
      <c r="D6" s="8">
        <f t="shared" ref="D6:D21" si="1">$B6/($B$3-2)</f>
        <v>-0.20970102446163494</v>
      </c>
    </row>
    <row r="7" spans="1:4" s="7" customFormat="1" ht="6.75" x14ac:dyDescent="0.15">
      <c r="A7" s="4"/>
      <c r="B7" s="1"/>
      <c r="C7" s="10"/>
      <c r="D7" s="10"/>
    </row>
    <row r="8" spans="1:4" ht="15.75" x14ac:dyDescent="0.25">
      <c r="A8" s="3" t="s">
        <v>3</v>
      </c>
      <c r="B8" s="2">
        <v>-5.78</v>
      </c>
      <c r="C8" s="8">
        <f t="shared" si="0"/>
        <v>-6.5936573123431444E-2</v>
      </c>
      <c r="D8" s="8">
        <f t="shared" si="1"/>
        <v>-6.0422329082166007E-2</v>
      </c>
    </row>
    <row r="9" spans="1:4" ht="15.75" x14ac:dyDescent="0.25">
      <c r="A9" s="3" t="s">
        <v>4</v>
      </c>
      <c r="B9" s="2">
        <v>-16.03</v>
      </c>
      <c r="C9" s="8">
        <f t="shared" si="0"/>
        <v>-0.18286561715719829</v>
      </c>
      <c r="D9" s="8">
        <f t="shared" si="1"/>
        <v>-0.16757265314656075</v>
      </c>
    </row>
    <row r="10" spans="1:4" s="7" customFormat="1" ht="6.75" x14ac:dyDescent="0.15">
      <c r="A10" s="4"/>
      <c r="B10" s="1"/>
      <c r="C10" s="10"/>
      <c r="D10" s="10"/>
    </row>
    <row r="11" spans="1:4" ht="15.75" x14ac:dyDescent="0.25">
      <c r="A11" s="3" t="s">
        <v>5</v>
      </c>
      <c r="B11" s="2">
        <v>-10.28</v>
      </c>
      <c r="C11" s="8">
        <f t="shared" si="0"/>
        <v>-0.11727127538215834</v>
      </c>
      <c r="D11" s="8">
        <f t="shared" si="1"/>
        <v>-0.10746393476897345</v>
      </c>
    </row>
    <row r="12" spans="1:4" ht="15.75" x14ac:dyDescent="0.25">
      <c r="A12" s="3" t="s">
        <v>6</v>
      </c>
      <c r="B12" s="2">
        <v>-13.67</v>
      </c>
      <c r="C12" s="8">
        <f t="shared" si="0"/>
        <v>-0.15594341775039927</v>
      </c>
      <c r="D12" s="8">
        <f t="shared" si="1"/>
        <v>-0.14290194438636838</v>
      </c>
    </row>
    <row r="13" spans="1:4" s="7" customFormat="1" ht="6.75" x14ac:dyDescent="0.15">
      <c r="A13" s="4"/>
      <c r="B13" s="1"/>
      <c r="C13" s="10"/>
      <c r="D13" s="10"/>
    </row>
    <row r="14" spans="1:4" ht="15.75" x14ac:dyDescent="0.25">
      <c r="A14" s="3" t="s">
        <v>7</v>
      </c>
      <c r="B14" s="2">
        <v>-2.31</v>
      </c>
      <c r="C14" s="8">
        <f t="shared" si="0"/>
        <v>-2.6351813826146476E-2</v>
      </c>
      <c r="D14" s="8">
        <f t="shared" si="1"/>
        <v>-2.4148024252561157E-2</v>
      </c>
    </row>
    <row r="15" spans="1:4" ht="15.75" x14ac:dyDescent="0.25">
      <c r="A15" s="3" t="s">
        <v>8</v>
      </c>
      <c r="B15" s="2">
        <v>-7.54</v>
      </c>
      <c r="C15" s="8">
        <f t="shared" si="0"/>
        <v>-8.6014145562400182E-2</v>
      </c>
      <c r="D15" s="8">
        <f t="shared" si="1"/>
        <v>-7.882082375078403E-2</v>
      </c>
    </row>
    <row r="16" spans="1:4" s="7" customFormat="1" ht="6.75" x14ac:dyDescent="0.15">
      <c r="A16" s="4"/>
      <c r="B16" s="1"/>
      <c r="C16" s="10"/>
      <c r="D16" s="10"/>
    </row>
    <row r="17" spans="1:5" ht="15.75" x14ac:dyDescent="0.25">
      <c r="A17" s="3" t="s">
        <v>9</v>
      </c>
      <c r="B17" s="2">
        <v>-8.15</v>
      </c>
      <c r="C17" s="8">
        <f t="shared" si="0"/>
        <v>-9.2972849646360947E-2</v>
      </c>
      <c r="D17" s="8">
        <f t="shared" si="1"/>
        <v>-8.5197574743884605E-2</v>
      </c>
    </row>
    <row r="18" spans="1:5" ht="15.75" x14ac:dyDescent="0.25">
      <c r="A18" s="3" t="s">
        <v>10</v>
      </c>
      <c r="B18" s="2">
        <v>-14.35</v>
      </c>
      <c r="C18" s="8">
        <f t="shared" si="0"/>
        <v>-0.16370066164727357</v>
      </c>
      <c r="D18" s="8">
        <f t="shared" si="1"/>
        <v>-0.15001045369015262</v>
      </c>
    </row>
    <row r="19" spans="1:5" s="7" customFormat="1" ht="6.75" x14ac:dyDescent="0.15">
      <c r="A19" s="4"/>
      <c r="B19" s="1"/>
      <c r="C19" s="10"/>
      <c r="D19" s="10"/>
    </row>
    <row r="20" spans="1:5" ht="15.75" x14ac:dyDescent="0.25">
      <c r="A20" s="3" t="s">
        <v>11</v>
      </c>
      <c r="B20" s="2">
        <v>-7.81</v>
      </c>
      <c r="C20" s="8">
        <f t="shared" si="0"/>
        <v>-8.90942276979238E-2</v>
      </c>
      <c r="D20" s="8">
        <f t="shared" si="1"/>
        <v>-8.1643320091992475E-2</v>
      </c>
    </row>
    <row r="21" spans="1:5" ht="15.75" x14ac:dyDescent="0.25">
      <c r="A21" s="3" t="s">
        <v>12</v>
      </c>
      <c r="B21" s="2">
        <v>-11.31</v>
      </c>
      <c r="C21" s="8">
        <f t="shared" si="0"/>
        <v>-0.12902121834360028</v>
      </c>
      <c r="D21" s="8">
        <f t="shared" si="1"/>
        <v>-0.11823123562617605</v>
      </c>
    </row>
    <row r="24" spans="1:5" s="12" customFormat="1" x14ac:dyDescent="0.2">
      <c r="A24" s="13" t="s">
        <v>17</v>
      </c>
    </row>
    <row r="25" spans="1:5" s="12" customFormat="1" ht="25.5" customHeight="1" x14ac:dyDescent="0.2">
      <c r="A25" s="136" t="s">
        <v>27</v>
      </c>
      <c r="B25" s="136"/>
      <c r="C25" s="136"/>
      <c r="D25" s="136"/>
      <c r="E25" s="136"/>
    </row>
    <row r="26" spans="1:5" s="12" customFormat="1" ht="15.75" x14ac:dyDescent="0.25">
      <c r="A26" s="17" t="s">
        <v>18</v>
      </c>
      <c r="B26" s="17" t="s">
        <v>19</v>
      </c>
      <c r="C26" s="17" t="s">
        <v>20</v>
      </c>
      <c r="D26" s="17" t="s">
        <v>21</v>
      </c>
      <c r="E26" s="17" t="s">
        <v>28</v>
      </c>
    </row>
    <row r="27" spans="1:5" s="12" customFormat="1" ht="15.75" x14ac:dyDescent="0.25">
      <c r="A27" s="14" t="s">
        <v>22</v>
      </c>
      <c r="B27" s="14">
        <v>1</v>
      </c>
      <c r="C27" s="14">
        <v>0.94469999999999998</v>
      </c>
      <c r="D27" s="14">
        <v>0.41570000000000001</v>
      </c>
      <c r="E27" s="15">
        <f>C27*D27</f>
        <v>0.39271179000000001</v>
      </c>
    </row>
    <row r="28" spans="1:5" s="12" customFormat="1" ht="15.75" x14ac:dyDescent="0.25">
      <c r="A28" s="14" t="s">
        <v>23</v>
      </c>
      <c r="B28" s="14">
        <v>1</v>
      </c>
      <c r="C28" s="16">
        <v>0.80800000000000005</v>
      </c>
      <c r="D28" s="14">
        <v>0.58189999999999997</v>
      </c>
      <c r="E28" s="15">
        <f>C28*D28</f>
        <v>0.47017520000000002</v>
      </c>
    </row>
    <row r="29" spans="1:5" s="12" customFormat="1" ht="15.75" x14ac:dyDescent="0.25">
      <c r="A29" s="14" t="s">
        <v>24</v>
      </c>
      <c r="B29" s="14">
        <v>1</v>
      </c>
      <c r="C29" s="14">
        <v>0.88029999999999997</v>
      </c>
      <c r="D29" s="14">
        <v>0.62909999999999999</v>
      </c>
      <c r="E29" s="15">
        <f>C29*D29</f>
        <v>0.55379672999999996</v>
      </c>
    </row>
    <row r="30" spans="1:5" s="12" customFormat="1" ht="15.75" x14ac:dyDescent="0.25">
      <c r="A30" s="14" t="s">
        <v>25</v>
      </c>
      <c r="B30" s="14">
        <v>1</v>
      </c>
      <c r="C30" s="14">
        <v>0.97450000000000003</v>
      </c>
      <c r="D30" s="14">
        <v>0.4793</v>
      </c>
      <c r="E30" s="15">
        <f>C30*D30</f>
        <v>0.46707785000000002</v>
      </c>
    </row>
    <row r="31" spans="1:5" s="12" customFormat="1" ht="15.75" x14ac:dyDescent="0.25">
      <c r="A31" s="14" t="s">
        <v>26</v>
      </c>
      <c r="B31" s="14">
        <v>1</v>
      </c>
      <c r="C31" s="14">
        <v>0.81740000000000002</v>
      </c>
      <c r="D31" s="14">
        <v>0.57279999999999998</v>
      </c>
      <c r="E31" s="15">
        <f>C31*D31</f>
        <v>0.46820671999999997</v>
      </c>
    </row>
  </sheetData>
  <mergeCells count="1">
    <mergeCell ref="A25:E25"/>
  </mergeCells>
  <phoneticPr fontId="5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94"/>
  <sheetViews>
    <sheetView showGridLines="0" workbookViewId="0">
      <selection activeCell="C5" sqref="C5"/>
    </sheetView>
  </sheetViews>
  <sheetFormatPr defaultRowHeight="12.75" x14ac:dyDescent="0.2"/>
  <cols>
    <col min="3" max="3" width="10.140625" customWidth="1"/>
  </cols>
  <sheetData>
    <row r="2" spans="2:10" x14ac:dyDescent="0.2">
      <c r="B2" s="59" t="s">
        <v>55</v>
      </c>
    </row>
    <row r="4" spans="2:10" x14ac:dyDescent="0.2">
      <c r="C4" t="s">
        <v>30</v>
      </c>
      <c r="D4" t="s">
        <v>32</v>
      </c>
      <c r="E4" t="s">
        <v>39</v>
      </c>
      <c r="F4" t="s">
        <v>52</v>
      </c>
      <c r="G4" t="s">
        <v>36</v>
      </c>
      <c r="H4" t="s">
        <v>37</v>
      </c>
      <c r="I4" t="s">
        <v>53</v>
      </c>
      <c r="J4" t="s">
        <v>40</v>
      </c>
    </row>
    <row r="5" spans="2:10" x14ac:dyDescent="0.2">
      <c r="B5">
        <v>11111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2:10" x14ac:dyDescent="0.2">
      <c r="B6">
        <v>21111</v>
      </c>
      <c r="C6" s="64">
        <v>0.83299999999999996</v>
      </c>
      <c r="D6" s="64">
        <v>0.9</v>
      </c>
      <c r="E6" s="64">
        <v>0.77300000000000002</v>
      </c>
      <c r="F6" s="64">
        <v>0.89300000000000002</v>
      </c>
      <c r="G6" s="64">
        <v>0.87</v>
      </c>
      <c r="H6" s="64">
        <v>0.85</v>
      </c>
      <c r="I6" s="64">
        <v>0.85398399999999997</v>
      </c>
      <c r="J6" s="64">
        <v>0.84399999999999997</v>
      </c>
    </row>
    <row r="7" spans="2:10" x14ac:dyDescent="0.2">
      <c r="B7">
        <v>12111</v>
      </c>
      <c r="C7" s="64">
        <v>0.82299999999999995</v>
      </c>
      <c r="D7" s="64">
        <v>0.91200000000000003</v>
      </c>
      <c r="E7" s="64">
        <v>0.79399999999999993</v>
      </c>
      <c r="F7" s="64">
        <v>0.84700000000000009</v>
      </c>
      <c r="G7" s="64">
        <v>0.84199999999999997</v>
      </c>
      <c r="H7" s="64">
        <v>0.81499999999999995</v>
      </c>
      <c r="I7" s="64">
        <v>0.82465750000000004</v>
      </c>
      <c r="J7" s="64">
        <v>0.80800000000000005</v>
      </c>
    </row>
    <row r="8" spans="2:10" x14ac:dyDescent="0.2">
      <c r="B8">
        <v>11211</v>
      </c>
      <c r="C8" s="64">
        <v>0.83799999999999997</v>
      </c>
      <c r="D8" s="64">
        <v>0.999</v>
      </c>
      <c r="E8" s="64">
        <v>0.80399999999999994</v>
      </c>
      <c r="F8" s="64">
        <v>0.89700000000000002</v>
      </c>
      <c r="G8" s="64">
        <v>0.90500000000000003</v>
      </c>
      <c r="H8" s="64">
        <v>0.88300000000000001</v>
      </c>
      <c r="I8" s="64">
        <v>0.86027049999999994</v>
      </c>
      <c r="J8" s="64">
        <v>0.85699999999999998</v>
      </c>
    </row>
    <row r="9" spans="2:10" x14ac:dyDescent="0.2">
      <c r="B9">
        <v>11121</v>
      </c>
      <c r="C9" s="64">
        <v>0.82400000000000007</v>
      </c>
      <c r="D9" s="64">
        <v>0.88700000000000001</v>
      </c>
      <c r="E9" s="64">
        <v>0.76800000000000002</v>
      </c>
      <c r="F9" s="64">
        <v>0.84300000000000008</v>
      </c>
      <c r="G9" s="64">
        <v>0.88700000000000001</v>
      </c>
      <c r="H9" s="64">
        <v>0.79600000000000004</v>
      </c>
      <c r="I9" s="64">
        <v>0.82710930000000005</v>
      </c>
      <c r="J9" s="64">
        <v>0.83299999999999996</v>
      </c>
    </row>
    <row r="10" spans="2:10" x14ac:dyDescent="0.2">
      <c r="B10">
        <v>11112</v>
      </c>
      <c r="C10" s="64">
        <v>0.81800000000000006</v>
      </c>
      <c r="D10" s="64">
        <v>0.999</v>
      </c>
      <c r="E10" s="64">
        <v>0.78500000000000003</v>
      </c>
      <c r="F10" s="64">
        <v>0.80500000000000005</v>
      </c>
      <c r="G10" s="64">
        <v>0.91399999999999992</v>
      </c>
      <c r="H10" s="64">
        <v>0.84800000000000009</v>
      </c>
      <c r="I10" s="64">
        <v>0.843777</v>
      </c>
      <c r="J10" s="64">
        <v>0.85399999999999998</v>
      </c>
    </row>
    <row r="11" spans="2:10" x14ac:dyDescent="0.2">
      <c r="B11">
        <v>11122</v>
      </c>
      <c r="C11" s="64">
        <v>0.75600000000000001</v>
      </c>
      <c r="D11" s="64">
        <v>0.88700000000000001</v>
      </c>
      <c r="E11" s="64">
        <v>0.70499999999999996</v>
      </c>
      <c r="F11" s="64">
        <v>0.71900000000000008</v>
      </c>
      <c r="G11" s="64">
        <v>0.82499999999999996</v>
      </c>
      <c r="H11" s="64">
        <v>0.72499999999999998</v>
      </c>
      <c r="I11" s="64">
        <v>0.79979440000000002</v>
      </c>
      <c r="J11" s="64">
        <v>0.78699999999999992</v>
      </c>
    </row>
    <row r="12" spans="2:10" x14ac:dyDescent="0.2">
      <c r="B12">
        <v>21232</v>
      </c>
      <c r="C12" s="64">
        <v>0.3209999999999999</v>
      </c>
      <c r="D12" s="64">
        <v>0.26199999999999996</v>
      </c>
      <c r="E12" s="64">
        <v>0.47199999999999992</v>
      </c>
      <c r="F12" s="64">
        <v>0.17399999999999999</v>
      </c>
      <c r="G12" s="64">
        <v>0.185</v>
      </c>
      <c r="H12" s="64">
        <v>8.7999999999999926E-2</v>
      </c>
      <c r="I12" s="64">
        <v>0.39696790000000004</v>
      </c>
      <c r="J12" s="64">
        <v>0.45299999999999996</v>
      </c>
    </row>
    <row r="13" spans="2:10" x14ac:dyDescent="0.2">
      <c r="B13">
        <v>32211</v>
      </c>
      <c r="C13" s="64">
        <v>0.36400000000000005</v>
      </c>
      <c r="D13" s="64">
        <v>0.26</v>
      </c>
      <c r="E13" s="64">
        <v>0.33200000000000002</v>
      </c>
      <c r="F13" s="64">
        <v>0.42</v>
      </c>
      <c r="G13" s="64">
        <v>5.0000000000000058E-2</v>
      </c>
      <c r="H13" s="64">
        <v>0.19600000000000004</v>
      </c>
      <c r="I13" s="64">
        <v>0.39574599999999999</v>
      </c>
      <c r="J13" s="64">
        <v>0.56100000000000005</v>
      </c>
    </row>
    <row r="14" spans="2:10" x14ac:dyDescent="0.2">
      <c r="B14">
        <v>22323</v>
      </c>
      <c r="C14" s="64">
        <v>0.19700000000000006</v>
      </c>
      <c r="D14" s="64">
        <v>0.313</v>
      </c>
      <c r="E14" s="64">
        <v>0.39400000000000002</v>
      </c>
      <c r="F14" s="64">
        <v>0.10900000000000004</v>
      </c>
      <c r="G14" s="64">
        <v>1.7000000000000071E-2</v>
      </c>
      <c r="H14" s="64">
        <v>2.4000000000000021E-2</v>
      </c>
      <c r="I14" s="64">
        <v>0.33329039999999982</v>
      </c>
      <c r="J14" s="64">
        <v>0.37700000000000006</v>
      </c>
    </row>
    <row r="15" spans="2:10" x14ac:dyDescent="0.2">
      <c r="B15">
        <v>22233</v>
      </c>
      <c r="C15" s="64">
        <v>-4.1000000000000036E-2</v>
      </c>
      <c r="D15" s="64">
        <v>0.11</v>
      </c>
      <c r="E15" s="64">
        <v>0.36899999999999994</v>
      </c>
      <c r="F15" s="64">
        <v>-0.10899999999999999</v>
      </c>
      <c r="G15" s="64">
        <v>-3.0999999999999944E-2</v>
      </c>
      <c r="H15" s="64">
        <v>-0.18099999999999999</v>
      </c>
      <c r="I15" s="64">
        <v>0.20360989999999982</v>
      </c>
      <c r="J15" s="64">
        <v>0.23399999999999999</v>
      </c>
    </row>
    <row r="16" spans="2:10" x14ac:dyDescent="0.2">
      <c r="B16">
        <v>33321</v>
      </c>
      <c r="C16" s="64">
        <v>7.7000000000000041E-2</v>
      </c>
      <c r="D16" s="64">
        <v>6.0999999999999929E-2</v>
      </c>
      <c r="E16" s="64">
        <v>0.115</v>
      </c>
      <c r="F16" s="64">
        <v>0.23900000000000002</v>
      </c>
      <c r="G16" s="64">
        <v>-0.33799999999999997</v>
      </c>
      <c r="H16" s="64">
        <v>-9.5000000000000001E-2</v>
      </c>
      <c r="I16" s="64">
        <v>0.14506099999999994</v>
      </c>
      <c r="J16" s="64">
        <v>0.26300000000000007</v>
      </c>
    </row>
    <row r="17" spans="2:10" x14ac:dyDescent="0.2">
      <c r="B17">
        <v>33333</v>
      </c>
      <c r="C17" s="64">
        <v>-0.624</v>
      </c>
      <c r="D17" s="64">
        <v>-0.20700000000000007</v>
      </c>
      <c r="E17" s="64">
        <v>-0.111</v>
      </c>
      <c r="F17" s="64">
        <v>-0.32900000000000001</v>
      </c>
      <c r="G17" s="64">
        <v>-0.65400000000000003</v>
      </c>
      <c r="H17" s="64">
        <v>-0.59399999999999997</v>
      </c>
      <c r="I17" s="64">
        <v>-0.10907070000000005</v>
      </c>
      <c r="J17" s="64">
        <v>-0.14499999999999999</v>
      </c>
    </row>
    <row r="40" spans="2:10" x14ac:dyDescent="0.2">
      <c r="B40" s="59" t="s">
        <v>56</v>
      </c>
    </row>
    <row r="42" spans="2:10" ht="15.75" x14ac:dyDescent="0.25">
      <c r="C42" s="25" t="s">
        <v>29</v>
      </c>
      <c r="D42" s="25" t="s">
        <v>30</v>
      </c>
      <c r="E42" s="25" t="s">
        <v>31</v>
      </c>
      <c r="F42" s="25" t="s">
        <v>33</v>
      </c>
      <c r="G42" s="25" t="s">
        <v>35</v>
      </c>
      <c r="H42" s="25" t="s">
        <v>36</v>
      </c>
      <c r="I42" s="25" t="s">
        <v>37</v>
      </c>
      <c r="J42" s="65" t="s">
        <v>13</v>
      </c>
    </row>
    <row r="43" spans="2:10" x14ac:dyDescent="0.2">
      <c r="B43">
        <v>11111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</row>
    <row r="44" spans="2:10" x14ac:dyDescent="0.2">
      <c r="B44">
        <v>21111</v>
      </c>
      <c r="C44" s="64">
        <v>0.77400000000000002</v>
      </c>
      <c r="D44" s="64">
        <v>0.64900000000000002</v>
      </c>
      <c r="E44" s="64">
        <v>0.78399999999999992</v>
      </c>
      <c r="F44" s="64">
        <v>0.72060000000000002</v>
      </c>
      <c r="G44" s="64">
        <v>0.66600000000000004</v>
      </c>
      <c r="H44" s="64">
        <v>0.7601</v>
      </c>
      <c r="I44" s="64">
        <v>0.77400000000000002</v>
      </c>
      <c r="J44" s="64">
        <v>0.80620000000000003</v>
      </c>
    </row>
    <row r="45" spans="2:10" x14ac:dyDescent="0.2">
      <c r="B45">
        <v>12111</v>
      </c>
      <c r="C45" s="64">
        <v>0.76500000000000001</v>
      </c>
      <c r="D45" s="64">
        <v>0.66300000000000003</v>
      </c>
      <c r="E45" s="64">
        <v>0.74399999999999999</v>
      </c>
      <c r="F45" s="64">
        <v>0.72450000000000003</v>
      </c>
      <c r="G45" s="64">
        <v>0.77900000000000003</v>
      </c>
      <c r="H45" s="64">
        <v>0.74860000000000004</v>
      </c>
      <c r="I45" s="64">
        <v>0.752</v>
      </c>
      <c r="J45" s="64">
        <v>0.75480000000000003</v>
      </c>
    </row>
    <row r="46" spans="2:10" x14ac:dyDescent="0.2">
      <c r="B46">
        <v>11211</v>
      </c>
      <c r="C46" s="64">
        <v>0.81699999999999995</v>
      </c>
      <c r="D46" s="64">
        <v>0.71100000000000008</v>
      </c>
      <c r="E46" s="64">
        <v>0.79500000000000004</v>
      </c>
      <c r="F46" s="64">
        <v>0.78230000000000011</v>
      </c>
      <c r="G46" s="64">
        <v>0.81799999999999995</v>
      </c>
      <c r="H46" s="64">
        <v>0.79469999999999996</v>
      </c>
      <c r="I46" s="64">
        <v>0.81399999999999995</v>
      </c>
      <c r="J46" s="64">
        <v>0.84570000000000001</v>
      </c>
    </row>
    <row r="47" spans="2:10" x14ac:dyDescent="0.2">
      <c r="B47">
        <v>11121</v>
      </c>
      <c r="C47" s="64">
        <v>0.76400000000000001</v>
      </c>
      <c r="D47" s="64">
        <v>0.69700000000000006</v>
      </c>
      <c r="E47" s="64">
        <v>0.73099999999999998</v>
      </c>
      <c r="F47" s="64">
        <v>0.71610000000000007</v>
      </c>
      <c r="G47" s="64">
        <v>0.76100000000000001</v>
      </c>
      <c r="H47" s="64">
        <v>0.79020000000000001</v>
      </c>
      <c r="I47" s="64">
        <v>0.76100000000000001</v>
      </c>
      <c r="J47" s="64">
        <v>0.77910000000000001</v>
      </c>
    </row>
    <row r="48" spans="2:10" x14ac:dyDescent="0.2">
      <c r="B48">
        <v>11112</v>
      </c>
      <c r="C48" s="64">
        <v>0.745</v>
      </c>
      <c r="D48" s="64">
        <v>0.68400000000000005</v>
      </c>
      <c r="E48" s="64">
        <v>0.68199999999999994</v>
      </c>
      <c r="F48" s="64">
        <v>0.70390000000000008</v>
      </c>
      <c r="G48" s="64">
        <v>0.77900000000000003</v>
      </c>
      <c r="H48" s="64">
        <v>0.79859999999999998</v>
      </c>
      <c r="I48" s="64">
        <v>0.78200000000000003</v>
      </c>
      <c r="J48" s="64">
        <v>0.78300000000000003</v>
      </c>
    </row>
    <row r="49" spans="2:10" x14ac:dyDescent="0.2">
      <c r="B49">
        <v>11122</v>
      </c>
      <c r="C49" s="64">
        <v>0.66100000000000003</v>
      </c>
      <c r="D49" s="64">
        <v>0.60600000000000009</v>
      </c>
      <c r="E49" s="64">
        <v>0.57099999999999995</v>
      </c>
      <c r="F49" s="64">
        <v>0.6241000000000001</v>
      </c>
      <c r="G49" s="64">
        <v>0.66800000000000004</v>
      </c>
      <c r="H49" s="64">
        <v>0.73899999999999999</v>
      </c>
      <c r="I49" s="64">
        <v>0.69799999999999995</v>
      </c>
      <c r="J49" s="64">
        <v>0.69</v>
      </c>
    </row>
    <row r="50" spans="2:10" x14ac:dyDescent="0.2">
      <c r="B50">
        <v>21232</v>
      </c>
      <c r="C50" s="64">
        <v>0.21599999999999997</v>
      </c>
      <c r="D50" s="64">
        <v>0.33799999999999997</v>
      </c>
      <c r="E50" s="64">
        <v>0.42399999999999982</v>
      </c>
      <c r="F50" s="64">
        <v>0.23889999999999997</v>
      </c>
      <c r="G50" s="64">
        <v>0.29700000000000004</v>
      </c>
      <c r="H50" s="64">
        <v>0.32269999999999999</v>
      </c>
      <c r="I50" s="64">
        <v>0.29399999999999998</v>
      </c>
      <c r="J50" s="64">
        <v>0.29820000000000002</v>
      </c>
    </row>
    <row r="51" spans="2:10" x14ac:dyDescent="0.2">
      <c r="B51">
        <v>32211</v>
      </c>
      <c r="C51" s="64">
        <v>0.33</v>
      </c>
      <c r="D51" s="64">
        <v>0.34700000000000003</v>
      </c>
      <c r="E51" s="64">
        <v>0.46700000000000003</v>
      </c>
      <c r="F51" s="64">
        <v>0.34379999999999999</v>
      </c>
      <c r="G51" s="64">
        <v>0.313</v>
      </c>
      <c r="H51" s="64">
        <v>0.30220000000000002</v>
      </c>
      <c r="I51" s="64">
        <v>0.32399999999999995</v>
      </c>
      <c r="J51" s="64">
        <v>0.31669999999999998</v>
      </c>
    </row>
    <row r="52" spans="2:10" x14ac:dyDescent="0.2">
      <c r="B52">
        <v>22323</v>
      </c>
      <c r="C52" s="64">
        <v>8.299999999999999E-2</v>
      </c>
      <c r="D52" s="64">
        <v>0.14900000000000002</v>
      </c>
      <c r="E52" s="64">
        <v>0.24799999999999994</v>
      </c>
      <c r="F52" s="64">
        <v>0.14169999999999999</v>
      </c>
      <c r="G52" s="64">
        <v>0.16800000000000009</v>
      </c>
      <c r="H52" s="64">
        <v>0.17480000000000001</v>
      </c>
      <c r="I52" s="64">
        <v>0.17700000000000005</v>
      </c>
      <c r="J52" s="64">
        <v>0.15210000000000001</v>
      </c>
    </row>
    <row r="53" spans="2:10" x14ac:dyDescent="0.2">
      <c r="B53">
        <v>22233</v>
      </c>
      <c r="C53" s="64">
        <v>0.03</v>
      </c>
      <c r="D53" s="64">
        <v>0.13500000000000001</v>
      </c>
      <c r="E53" s="64">
        <v>0.28999999999999998</v>
      </c>
      <c r="F53" s="64">
        <v>7.5499999999999956E-2</v>
      </c>
      <c r="G53" s="64">
        <v>0.11100000000000004</v>
      </c>
      <c r="H53" s="64">
        <v>0.17030000000000006</v>
      </c>
      <c r="I53" s="64">
        <v>0.14000000000000001</v>
      </c>
      <c r="J53" s="64">
        <v>0.14100000000000001</v>
      </c>
    </row>
    <row r="54" spans="2:10" x14ac:dyDescent="0.2">
      <c r="B54">
        <v>33321</v>
      </c>
      <c r="C54" s="64">
        <v>0.1319999999999999</v>
      </c>
      <c r="D54" s="64">
        <v>9.3000000000000041E-2</v>
      </c>
      <c r="E54" s="64">
        <v>0.22699999999999998</v>
      </c>
      <c r="F54" s="64">
        <v>0.17900000000000005</v>
      </c>
      <c r="G54" s="64">
        <v>5.5E-2</v>
      </c>
      <c r="H54" s="64">
        <v>8.6299999999999974E-2</v>
      </c>
      <c r="I54" s="64">
        <v>0.13800000000000001</v>
      </c>
      <c r="J54" s="64">
        <v>0.1255</v>
      </c>
    </row>
    <row r="55" spans="2:10" x14ac:dyDescent="0.2">
      <c r="B55">
        <v>33333</v>
      </c>
      <c r="C55" s="64">
        <v>-0.15800000000000008</v>
      </c>
      <c r="D55" s="64">
        <v>-0.16699999999999995</v>
      </c>
      <c r="E55" s="64">
        <v>-1.1000000000000038E-2</v>
      </c>
      <c r="F55" s="64">
        <v>-8.4799999999999959E-2</v>
      </c>
      <c r="G55" s="64">
        <v>-0.24199999999999997</v>
      </c>
      <c r="H55" s="64">
        <v>-7.5700000000000031E-2</v>
      </c>
      <c r="I55" s="64">
        <v>-7.2999999999999982E-2</v>
      </c>
      <c r="J55" s="64">
        <v>-7.4200000000000016E-2</v>
      </c>
    </row>
    <row r="79" spans="2:2" x14ac:dyDescent="0.2">
      <c r="B79" s="59" t="s">
        <v>63</v>
      </c>
    </row>
    <row r="81" spans="2:10" ht="15.75" x14ac:dyDescent="0.25">
      <c r="C81" t="s">
        <v>57</v>
      </c>
      <c r="D81" s="25" t="s">
        <v>60</v>
      </c>
      <c r="E81" t="s">
        <v>58</v>
      </c>
      <c r="F81" s="25" t="s">
        <v>61</v>
      </c>
      <c r="G81" t="s">
        <v>59</v>
      </c>
      <c r="H81" s="25" t="s">
        <v>62</v>
      </c>
    </row>
    <row r="82" spans="2:10" x14ac:dyDescent="0.2">
      <c r="B82">
        <v>11111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2:10" x14ac:dyDescent="0.2">
      <c r="B83">
        <v>21111</v>
      </c>
      <c r="C83" s="64">
        <v>0.83299999999999996</v>
      </c>
      <c r="D83" s="64">
        <v>0.64900000000000002</v>
      </c>
      <c r="E83" s="64">
        <v>0.87</v>
      </c>
      <c r="F83" s="64">
        <v>0.7601</v>
      </c>
      <c r="G83" s="64">
        <v>0.85</v>
      </c>
      <c r="H83" s="64">
        <v>0.77400000000000002</v>
      </c>
      <c r="J83" s="64"/>
    </row>
    <row r="84" spans="2:10" x14ac:dyDescent="0.2">
      <c r="B84">
        <v>12111</v>
      </c>
      <c r="C84" s="64">
        <v>0.82299999999999995</v>
      </c>
      <c r="D84" s="64">
        <v>0.66300000000000003</v>
      </c>
      <c r="E84" s="64">
        <v>0.84199999999999997</v>
      </c>
      <c r="F84" s="64">
        <v>0.74860000000000004</v>
      </c>
      <c r="G84" s="64">
        <v>0.81499999999999995</v>
      </c>
      <c r="H84" s="64">
        <v>0.752</v>
      </c>
      <c r="J84" s="64"/>
    </row>
    <row r="85" spans="2:10" x14ac:dyDescent="0.2">
      <c r="B85">
        <v>11211</v>
      </c>
      <c r="C85" s="64">
        <v>0.83799999999999997</v>
      </c>
      <c r="D85" s="64">
        <v>0.71100000000000008</v>
      </c>
      <c r="E85" s="64">
        <v>0.90500000000000003</v>
      </c>
      <c r="F85" s="64">
        <v>0.79469999999999996</v>
      </c>
      <c r="G85" s="64">
        <v>0.88300000000000001</v>
      </c>
      <c r="H85" s="64">
        <v>0.81399999999999995</v>
      </c>
      <c r="J85" s="64"/>
    </row>
    <row r="86" spans="2:10" x14ac:dyDescent="0.2">
      <c r="B86">
        <v>11121</v>
      </c>
      <c r="C86" s="64">
        <v>0.82400000000000007</v>
      </c>
      <c r="D86" s="64">
        <v>0.69700000000000006</v>
      </c>
      <c r="E86" s="64">
        <v>0.88700000000000001</v>
      </c>
      <c r="F86" s="64">
        <v>0.79020000000000001</v>
      </c>
      <c r="G86" s="64">
        <v>0.79600000000000004</v>
      </c>
      <c r="H86" s="64">
        <v>0.76100000000000001</v>
      </c>
      <c r="J86" s="64"/>
    </row>
    <row r="87" spans="2:10" x14ac:dyDescent="0.2">
      <c r="B87">
        <v>11112</v>
      </c>
      <c r="C87" s="64">
        <v>0.81800000000000006</v>
      </c>
      <c r="D87" s="64">
        <v>0.68400000000000005</v>
      </c>
      <c r="E87" s="64">
        <v>0.91399999999999992</v>
      </c>
      <c r="F87" s="64">
        <v>0.79859999999999998</v>
      </c>
      <c r="G87" s="64">
        <v>0.84800000000000009</v>
      </c>
      <c r="H87" s="64">
        <v>0.78200000000000003</v>
      </c>
      <c r="J87" s="64"/>
    </row>
    <row r="88" spans="2:10" x14ac:dyDescent="0.2">
      <c r="B88">
        <v>11122</v>
      </c>
      <c r="C88" s="64">
        <v>0.75600000000000001</v>
      </c>
      <c r="D88" s="64">
        <v>0.60600000000000009</v>
      </c>
      <c r="E88" s="64">
        <v>0.82499999999999996</v>
      </c>
      <c r="F88" s="64">
        <v>0.73899999999999999</v>
      </c>
      <c r="G88" s="64">
        <v>0.72499999999999998</v>
      </c>
      <c r="H88" s="64">
        <v>0.69799999999999995</v>
      </c>
      <c r="J88" s="64"/>
    </row>
    <row r="89" spans="2:10" x14ac:dyDescent="0.2">
      <c r="B89">
        <v>21232</v>
      </c>
      <c r="C89" s="64">
        <v>0.3209999999999999</v>
      </c>
      <c r="D89" s="64">
        <v>0.33799999999999997</v>
      </c>
      <c r="E89" s="64">
        <v>0.185</v>
      </c>
      <c r="F89" s="64">
        <v>0.32269999999999999</v>
      </c>
      <c r="G89" s="64">
        <v>8.7999999999999926E-2</v>
      </c>
      <c r="H89" s="64">
        <v>0.29399999999999998</v>
      </c>
      <c r="J89" s="64"/>
    </row>
    <row r="90" spans="2:10" x14ac:dyDescent="0.2">
      <c r="B90">
        <v>32211</v>
      </c>
      <c r="C90" s="64">
        <v>0.36400000000000005</v>
      </c>
      <c r="D90" s="64">
        <v>0.34700000000000003</v>
      </c>
      <c r="E90" s="64">
        <v>5.0000000000000058E-2</v>
      </c>
      <c r="F90" s="64">
        <v>0.30220000000000002</v>
      </c>
      <c r="G90" s="64">
        <v>0.19600000000000004</v>
      </c>
      <c r="H90" s="64">
        <v>0.32399999999999995</v>
      </c>
      <c r="J90" s="64"/>
    </row>
    <row r="91" spans="2:10" x14ac:dyDescent="0.2">
      <c r="B91">
        <v>22323</v>
      </c>
      <c r="C91" s="64">
        <v>0.19700000000000006</v>
      </c>
      <c r="D91" s="64">
        <v>0.14900000000000002</v>
      </c>
      <c r="E91" s="64">
        <v>1.7000000000000071E-2</v>
      </c>
      <c r="F91" s="64">
        <v>0.17480000000000001</v>
      </c>
      <c r="G91" s="64">
        <v>2.4000000000000021E-2</v>
      </c>
      <c r="H91" s="64">
        <v>0.17700000000000005</v>
      </c>
      <c r="J91" s="64"/>
    </row>
    <row r="92" spans="2:10" x14ac:dyDescent="0.2">
      <c r="B92">
        <v>22233</v>
      </c>
      <c r="C92" s="64">
        <v>-4.1000000000000036E-2</v>
      </c>
      <c r="D92" s="64">
        <v>0.13500000000000001</v>
      </c>
      <c r="E92" s="64">
        <v>-3.0999999999999944E-2</v>
      </c>
      <c r="F92" s="64">
        <v>0.17030000000000006</v>
      </c>
      <c r="G92" s="64">
        <v>-0.18099999999999999</v>
      </c>
      <c r="H92" s="64">
        <v>0.14000000000000001</v>
      </c>
      <c r="J92" s="64"/>
    </row>
    <row r="93" spans="2:10" x14ac:dyDescent="0.2">
      <c r="B93">
        <v>33321</v>
      </c>
      <c r="C93" s="64">
        <v>7.7000000000000041E-2</v>
      </c>
      <c r="D93" s="64">
        <v>9.3000000000000041E-2</v>
      </c>
      <c r="E93" s="64">
        <v>-0.33799999999999997</v>
      </c>
      <c r="F93" s="64">
        <v>8.6299999999999974E-2</v>
      </c>
      <c r="G93" s="64">
        <v>-9.5000000000000001E-2</v>
      </c>
      <c r="H93" s="64">
        <v>0.13800000000000001</v>
      </c>
      <c r="J93" s="64"/>
    </row>
    <row r="94" spans="2:10" x14ac:dyDescent="0.2">
      <c r="B94">
        <v>33333</v>
      </c>
      <c r="C94" s="64">
        <v>-0.624</v>
      </c>
      <c r="D94" s="64">
        <v>-0.16699999999999995</v>
      </c>
      <c r="E94" s="64">
        <v>-0.65400000000000003</v>
      </c>
      <c r="F94" s="64">
        <v>-7.5700000000000031E-2</v>
      </c>
      <c r="G94" s="64">
        <v>-0.59399999999999997</v>
      </c>
      <c r="H94" s="64">
        <v>-7.2999999999999982E-2</v>
      </c>
      <c r="J94" s="64"/>
    </row>
  </sheetData>
  <phoneticPr fontId="5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tabSelected="1" workbookViewId="0">
      <selection activeCell="K8" sqref="K8"/>
    </sheetView>
  </sheetViews>
  <sheetFormatPr defaultRowHeight="12.75" x14ac:dyDescent="0.2"/>
  <cols>
    <col min="1" max="1" width="11.7109375" bestFit="1" customWidth="1"/>
    <col min="2" max="2" width="11.42578125" style="74" bestFit="1" customWidth="1"/>
    <col min="3" max="3" width="12.42578125" style="74" bestFit="1" customWidth="1"/>
    <col min="4" max="4" width="19" style="74" bestFit="1" customWidth="1"/>
    <col min="6" max="6" width="18.7109375" customWidth="1"/>
    <col min="7" max="7" width="10.140625" bestFit="1" customWidth="1"/>
    <col min="13" max="13" width="9" bestFit="1" customWidth="1"/>
    <col min="14" max="14" width="7.42578125" bestFit="1" customWidth="1"/>
  </cols>
  <sheetData>
    <row r="1" spans="1:7" s="59" customFormat="1" x14ac:dyDescent="0.2">
      <c r="A1" s="59" t="s">
        <v>64</v>
      </c>
      <c r="B1" s="73" t="s">
        <v>65</v>
      </c>
      <c r="C1" s="122" t="s">
        <v>71</v>
      </c>
      <c r="D1" s="122" t="s">
        <v>72</v>
      </c>
      <c r="F1" s="119" t="s">
        <v>178</v>
      </c>
      <c r="G1" s="119" t="s">
        <v>69</v>
      </c>
    </row>
    <row r="2" spans="1:7" x14ac:dyDescent="0.2">
      <c r="A2" s="77" t="s">
        <v>74</v>
      </c>
      <c r="F2" s="124">
        <f>B2</f>
        <v>0</v>
      </c>
      <c r="G2" s="120">
        <f>0.07*F2</f>
        <v>0</v>
      </c>
    </row>
    <row r="3" spans="1:7" x14ac:dyDescent="0.2">
      <c r="A3" s="77" t="s">
        <v>75</v>
      </c>
      <c r="F3" s="124">
        <f>B3</f>
        <v>0</v>
      </c>
      <c r="G3" s="120">
        <f>0.15*F3</f>
        <v>0</v>
      </c>
    </row>
    <row r="4" spans="1:7" x14ac:dyDescent="0.2">
      <c r="A4" s="77" t="s">
        <v>76</v>
      </c>
      <c r="F4" s="125"/>
      <c r="G4" s="120"/>
    </row>
    <row r="5" spans="1:7" x14ac:dyDescent="0.2">
      <c r="A5" s="77" t="s">
        <v>77</v>
      </c>
      <c r="F5" s="125"/>
      <c r="G5" s="120"/>
    </row>
    <row r="6" spans="1:7" x14ac:dyDescent="0.2">
      <c r="A6" s="77" t="s">
        <v>78</v>
      </c>
      <c r="F6" s="124">
        <f>B6</f>
        <v>0</v>
      </c>
      <c r="G6" s="120">
        <f>0.1*F6</f>
        <v>0</v>
      </c>
    </row>
    <row r="7" spans="1:7" x14ac:dyDescent="0.2">
      <c r="A7" s="77" t="s">
        <v>79</v>
      </c>
      <c r="F7" s="125"/>
      <c r="G7" s="120"/>
    </row>
    <row r="8" spans="1:7" x14ac:dyDescent="0.2">
      <c r="A8" s="77" t="s">
        <v>80</v>
      </c>
      <c r="F8" s="125"/>
      <c r="G8" s="120"/>
    </row>
    <row r="9" spans="1:7" x14ac:dyDescent="0.2">
      <c r="A9" s="77" t="s">
        <v>81</v>
      </c>
      <c r="F9" s="125"/>
      <c r="G9" s="120"/>
    </row>
    <row r="10" spans="1:7" x14ac:dyDescent="0.2">
      <c r="A10" s="77" t="s">
        <v>82</v>
      </c>
      <c r="F10" s="125"/>
      <c r="G10" s="120"/>
    </row>
    <row r="11" spans="1:7" x14ac:dyDescent="0.2">
      <c r="A11" s="77" t="s">
        <v>42</v>
      </c>
      <c r="F11" s="124">
        <f>B11</f>
        <v>0</v>
      </c>
      <c r="G11" s="120">
        <f>0.12*F11</f>
        <v>0</v>
      </c>
    </row>
    <row r="12" spans="1:7" x14ac:dyDescent="0.2">
      <c r="A12" s="77" t="s">
        <v>83</v>
      </c>
      <c r="F12" s="125"/>
      <c r="G12" s="120"/>
    </row>
    <row r="13" spans="1:7" x14ac:dyDescent="0.2">
      <c r="A13" s="77" t="s">
        <v>84</v>
      </c>
      <c r="F13" s="124">
        <f>B13</f>
        <v>0</v>
      </c>
      <c r="G13" s="120">
        <f>0.12*F13</f>
        <v>0</v>
      </c>
    </row>
    <row r="14" spans="1:7" x14ac:dyDescent="0.2">
      <c r="A14" s="77" t="s">
        <v>85</v>
      </c>
      <c r="F14" s="125"/>
      <c r="G14" s="120"/>
    </row>
    <row r="15" spans="1:7" x14ac:dyDescent="0.2">
      <c r="A15" s="77" t="s">
        <v>86</v>
      </c>
      <c r="F15" s="125"/>
      <c r="G15" s="120"/>
    </row>
    <row r="16" spans="1:7" x14ac:dyDescent="0.2">
      <c r="A16" s="77" t="s">
        <v>87</v>
      </c>
      <c r="F16" s="124">
        <f>B16</f>
        <v>0</v>
      </c>
      <c r="G16" s="120">
        <f>0.11*F16</f>
        <v>0</v>
      </c>
    </row>
    <row r="17" spans="1:8" x14ac:dyDescent="0.2">
      <c r="A17" s="77" t="s">
        <v>88</v>
      </c>
      <c r="F17" s="124">
        <f>B17</f>
        <v>0</v>
      </c>
      <c r="G17" s="120">
        <f>0.13*F17</f>
        <v>0</v>
      </c>
    </row>
    <row r="18" spans="1:8" x14ac:dyDescent="0.2">
      <c r="A18" s="77" t="s">
        <v>89</v>
      </c>
      <c r="F18" s="125"/>
      <c r="G18" s="120"/>
    </row>
    <row r="19" spans="1:8" x14ac:dyDescent="0.2">
      <c r="A19" s="77" t="s">
        <v>90</v>
      </c>
      <c r="F19" s="124">
        <f>B19</f>
        <v>0</v>
      </c>
      <c r="G19" s="120">
        <f>0.2*F19</f>
        <v>0</v>
      </c>
    </row>
    <row r="20" spans="1:8" s="59" customFormat="1" x14ac:dyDescent="0.2">
      <c r="A20" s="59" t="s">
        <v>69</v>
      </c>
      <c r="B20" s="73"/>
      <c r="C20" s="122">
        <f>((B2+B3+B4+B5+B6+B7+B8+B9+B10)/9)</f>
        <v>0</v>
      </c>
      <c r="D20" s="122">
        <f>((B11+B12+B13+B14+B15+B16+B17+B18+B19)/9)</f>
        <v>0</v>
      </c>
      <c r="F20" s="119"/>
      <c r="G20" s="119"/>
    </row>
    <row r="21" spans="1:8" s="59" customFormat="1" x14ac:dyDescent="0.2">
      <c r="A21" s="100" t="s">
        <v>73</v>
      </c>
      <c r="B21" s="122">
        <f>(C20+D20)/2</f>
        <v>0</v>
      </c>
      <c r="C21" s="73"/>
      <c r="D21" s="73"/>
      <c r="F21" s="123" t="s">
        <v>174</v>
      </c>
      <c r="G21" s="135">
        <f>G2+G3+G6+G11+G13+G16+G17+G19</f>
        <v>0</v>
      </c>
    </row>
    <row r="23" spans="1:8" x14ac:dyDescent="0.2">
      <c r="A23" s="75" t="s">
        <v>175</v>
      </c>
      <c r="B23" s="75" t="s">
        <v>91</v>
      </c>
      <c r="C23"/>
    </row>
    <row r="24" spans="1:8" x14ac:dyDescent="0.2">
      <c r="B24" s="75" t="s">
        <v>92</v>
      </c>
      <c r="C24"/>
      <c r="F24" s="121" t="s">
        <v>176</v>
      </c>
      <c r="G24" s="121" t="s">
        <v>177</v>
      </c>
      <c r="H24" s="75"/>
    </row>
    <row r="25" spans="1:8" x14ac:dyDescent="0.2">
      <c r="B25" s="75" t="s">
        <v>93</v>
      </c>
      <c r="C25"/>
    </row>
    <row r="26" spans="1:8" x14ac:dyDescent="0.2">
      <c r="B26" s="75" t="s">
        <v>94</v>
      </c>
      <c r="C26"/>
    </row>
    <row r="27" spans="1:8" x14ac:dyDescent="0.2">
      <c r="B27" s="75" t="s">
        <v>95</v>
      </c>
      <c r="C27"/>
    </row>
    <row r="28" spans="1:8" x14ac:dyDescent="0.2">
      <c r="B28" s="76" t="s">
        <v>96</v>
      </c>
      <c r="C28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"/>
  <sheetViews>
    <sheetView workbookViewId="0">
      <selection activeCell="C2" sqref="C2"/>
    </sheetView>
  </sheetViews>
  <sheetFormatPr defaultRowHeight="12.75" x14ac:dyDescent="0.2"/>
  <cols>
    <col min="1" max="1" width="10.5703125" bestFit="1" customWidth="1"/>
    <col min="2" max="2" width="16.140625" customWidth="1"/>
    <col min="3" max="3" width="12.42578125" customWidth="1"/>
    <col min="5" max="5" width="10.7109375" bestFit="1" customWidth="1"/>
  </cols>
  <sheetData>
    <row r="1" spans="1:5" x14ac:dyDescent="0.2">
      <c r="A1" s="59" t="s">
        <v>64</v>
      </c>
      <c r="B1" s="73" t="s">
        <v>65</v>
      </c>
      <c r="C1" s="59" t="s">
        <v>69</v>
      </c>
    </row>
    <row r="2" spans="1:5" x14ac:dyDescent="0.2">
      <c r="A2" s="77" t="s">
        <v>74</v>
      </c>
      <c r="C2" t="e">
        <f>LOOKUP(B2,Table1[#All])</f>
        <v>#N/A</v>
      </c>
    </row>
    <row r="3" spans="1:5" x14ac:dyDescent="0.2">
      <c r="A3" s="77" t="s">
        <v>97</v>
      </c>
      <c r="C3" t="e">
        <f>LOOKUP(B3,Table2[#All])</f>
        <v>#N/A</v>
      </c>
      <c r="E3" s="85" t="s">
        <v>149</v>
      </c>
    </row>
    <row r="4" spans="1:5" x14ac:dyDescent="0.2">
      <c r="A4" s="77" t="s">
        <v>98</v>
      </c>
      <c r="C4" t="e">
        <f>LOOKUP(B4,Table3[#All])</f>
        <v>#N/A</v>
      </c>
      <c r="E4" s="85" t="s">
        <v>150</v>
      </c>
    </row>
    <row r="5" spans="1:5" x14ac:dyDescent="0.2">
      <c r="A5" s="77" t="s">
        <v>99</v>
      </c>
      <c r="C5" t="e">
        <f>LOOKUP(B5,Table4[#All])</f>
        <v>#N/A</v>
      </c>
    </row>
    <row r="6" spans="1:5" x14ac:dyDescent="0.2">
      <c r="A6" s="59" t="s">
        <v>108</v>
      </c>
      <c r="B6" s="59"/>
      <c r="C6" s="59" t="e">
        <f>SUM(C2:C5)</f>
        <v>#N/A</v>
      </c>
    </row>
    <row r="17" spans="1:3" x14ac:dyDescent="0.2">
      <c r="B17" s="77" t="s">
        <v>100</v>
      </c>
      <c r="C17" s="77" t="s">
        <v>101</v>
      </c>
    </row>
    <row r="18" spans="1:3" x14ac:dyDescent="0.2">
      <c r="A18" s="77"/>
      <c r="B18">
        <v>1</v>
      </c>
      <c r="C18">
        <v>40</v>
      </c>
    </row>
    <row r="19" spans="1:3" x14ac:dyDescent="0.2">
      <c r="B19">
        <v>2</v>
      </c>
      <c r="C19">
        <v>30</v>
      </c>
    </row>
    <row r="20" spans="1:3" x14ac:dyDescent="0.2">
      <c r="B20">
        <v>3</v>
      </c>
      <c r="C20">
        <v>20</v>
      </c>
    </row>
    <row r="21" spans="1:3" x14ac:dyDescent="0.2">
      <c r="B21">
        <v>4</v>
      </c>
      <c r="C21">
        <v>0</v>
      </c>
    </row>
    <row r="23" spans="1:3" x14ac:dyDescent="0.2">
      <c r="B23" s="77" t="s">
        <v>102</v>
      </c>
      <c r="C23" s="77" t="s">
        <v>103</v>
      </c>
    </row>
    <row r="24" spans="1:3" x14ac:dyDescent="0.2">
      <c r="B24">
        <v>1</v>
      </c>
      <c r="C24">
        <v>10</v>
      </c>
    </row>
    <row r="25" spans="1:3" x14ac:dyDescent="0.2">
      <c r="B25">
        <v>2</v>
      </c>
      <c r="C25">
        <v>7</v>
      </c>
    </row>
    <row r="26" spans="1:3" x14ac:dyDescent="0.2">
      <c r="B26">
        <v>3</v>
      </c>
      <c r="C26">
        <v>4</v>
      </c>
    </row>
    <row r="27" spans="1:3" x14ac:dyDescent="0.2">
      <c r="B27">
        <v>4</v>
      </c>
      <c r="C27">
        <v>0</v>
      </c>
    </row>
    <row r="29" spans="1:3" x14ac:dyDescent="0.2">
      <c r="B29" s="77" t="s">
        <v>104</v>
      </c>
      <c r="C29" s="77" t="s">
        <v>105</v>
      </c>
    </row>
    <row r="30" spans="1:3" x14ac:dyDescent="0.2">
      <c r="B30">
        <v>1</v>
      </c>
      <c r="C30">
        <v>5</v>
      </c>
    </row>
    <row r="31" spans="1:3" x14ac:dyDescent="0.2">
      <c r="B31">
        <v>2</v>
      </c>
      <c r="C31">
        <v>4</v>
      </c>
    </row>
    <row r="32" spans="1:3" x14ac:dyDescent="0.2">
      <c r="B32">
        <v>3</v>
      </c>
      <c r="C32">
        <v>2</v>
      </c>
    </row>
    <row r="33" spans="2:3" x14ac:dyDescent="0.2">
      <c r="B33">
        <v>4</v>
      </c>
      <c r="C33">
        <v>0</v>
      </c>
    </row>
    <row r="35" spans="2:3" x14ac:dyDescent="0.2">
      <c r="B35" s="77" t="s">
        <v>106</v>
      </c>
      <c r="C35" s="77" t="s">
        <v>107</v>
      </c>
    </row>
    <row r="36" spans="2:3" x14ac:dyDescent="0.2">
      <c r="B36">
        <v>1</v>
      </c>
      <c r="C36">
        <v>5</v>
      </c>
    </row>
    <row r="37" spans="2:3" x14ac:dyDescent="0.2">
      <c r="B37">
        <v>2</v>
      </c>
      <c r="C37">
        <v>3</v>
      </c>
    </row>
    <row r="38" spans="2:3" x14ac:dyDescent="0.2">
      <c r="B38">
        <v>3</v>
      </c>
      <c r="C38">
        <v>0</v>
      </c>
    </row>
  </sheetData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K47"/>
  <sheetViews>
    <sheetView workbookViewId="0">
      <selection activeCell="F22" sqref="F22"/>
    </sheetView>
  </sheetViews>
  <sheetFormatPr defaultRowHeight="12.75" x14ac:dyDescent="0.2"/>
  <cols>
    <col min="1" max="1" width="10.5703125" bestFit="1" customWidth="1"/>
    <col min="2" max="2" width="11.140625" bestFit="1" customWidth="1"/>
    <col min="3" max="3" width="20.28515625" bestFit="1" customWidth="1"/>
    <col min="4" max="4" width="11.5703125" style="127" bestFit="1" customWidth="1"/>
    <col min="5" max="5" width="21.42578125" bestFit="1" customWidth="1"/>
    <col min="6" max="6" width="25.85546875" bestFit="1" customWidth="1"/>
    <col min="7" max="7" width="11.7109375" bestFit="1" customWidth="1"/>
    <col min="9" max="9" width="13.42578125" bestFit="1" customWidth="1"/>
    <col min="10" max="10" width="8.7109375" bestFit="1" customWidth="1"/>
  </cols>
  <sheetData>
    <row r="1" spans="1:11" s="59" customFormat="1" x14ac:dyDescent="0.2">
      <c r="A1" s="59" t="s">
        <v>64</v>
      </c>
      <c r="B1" s="59" t="s">
        <v>65</v>
      </c>
      <c r="C1" s="59" t="s">
        <v>133</v>
      </c>
      <c r="D1" s="126" t="s">
        <v>180</v>
      </c>
    </row>
    <row r="2" spans="1:11" x14ac:dyDescent="0.2">
      <c r="A2" s="77" t="s">
        <v>109</v>
      </c>
    </row>
    <row r="3" spans="1:11" x14ac:dyDescent="0.2">
      <c r="A3" s="77" t="s">
        <v>110</v>
      </c>
    </row>
    <row r="4" spans="1:11" x14ac:dyDescent="0.2">
      <c r="A4" s="77" t="s">
        <v>111</v>
      </c>
    </row>
    <row r="5" spans="1:11" x14ac:dyDescent="0.2">
      <c r="A5" s="77" t="s">
        <v>112</v>
      </c>
    </row>
    <row r="6" spans="1:11" x14ac:dyDescent="0.2">
      <c r="A6" s="77" t="s">
        <v>113</v>
      </c>
    </row>
    <row r="7" spans="1:11" x14ac:dyDescent="0.2">
      <c r="A7" s="77" t="s">
        <v>114</v>
      </c>
    </row>
    <row r="8" spans="1:11" x14ac:dyDescent="0.2">
      <c r="A8" s="77" t="s">
        <v>115</v>
      </c>
    </row>
    <row r="9" spans="1:11" x14ac:dyDescent="0.2">
      <c r="A9" s="77" t="s">
        <v>116</v>
      </c>
    </row>
    <row r="10" spans="1:11" x14ac:dyDescent="0.2">
      <c r="A10" s="77" t="s">
        <v>117</v>
      </c>
    </row>
    <row r="11" spans="1:11" s="59" customFormat="1" x14ac:dyDescent="0.2">
      <c r="A11" s="78" t="s">
        <v>70</v>
      </c>
      <c r="B11" s="78" t="e">
        <f>AVERAGE(B2:B10)</f>
        <v>#DIV/0!</v>
      </c>
      <c r="C11" s="79">
        <f>B2+B3+B4+B5+B6+B7+B8+B9+B10</f>
        <v>0</v>
      </c>
      <c r="D11" s="128">
        <f>C11/36</f>
        <v>0</v>
      </c>
      <c r="F11" s="80"/>
      <c r="G11" s="80" t="s">
        <v>135</v>
      </c>
      <c r="H11" s="80" t="s">
        <v>67</v>
      </c>
      <c r="I11" s="80" t="s">
        <v>136</v>
      </c>
      <c r="J11" s="80" t="s">
        <v>137</v>
      </c>
      <c r="K11" s="82" t="s">
        <v>108</v>
      </c>
    </row>
    <row r="12" spans="1:11" x14ac:dyDescent="0.2">
      <c r="A12" s="77" t="s">
        <v>74</v>
      </c>
      <c r="F12" s="80" t="s">
        <v>138</v>
      </c>
      <c r="G12" s="81" t="e">
        <f>B11</f>
        <v>#DIV/0!</v>
      </c>
      <c r="H12" s="81" t="e">
        <f>B25</f>
        <v>#DIV/0!</v>
      </c>
      <c r="I12" s="81" t="e">
        <f>B34</f>
        <v>#DIV/0!</v>
      </c>
      <c r="J12" s="81" t="e">
        <f>B47</f>
        <v>#DIV/0!</v>
      </c>
      <c r="K12" s="83" t="e">
        <f>AVERAGE(G12:J12)</f>
        <v>#DIV/0!</v>
      </c>
    </row>
    <row r="13" spans="1:11" x14ac:dyDescent="0.2">
      <c r="A13" s="77" t="s">
        <v>75</v>
      </c>
      <c r="F13" s="80" t="s">
        <v>139</v>
      </c>
      <c r="G13" s="81">
        <f>C11</f>
        <v>0</v>
      </c>
      <c r="H13" s="81">
        <f>C25</f>
        <v>0</v>
      </c>
      <c r="I13" s="81">
        <f>C34</f>
        <v>0</v>
      </c>
      <c r="J13" s="81">
        <f>C47</f>
        <v>0</v>
      </c>
      <c r="K13" s="83">
        <f>G13+H13+I13+J13</f>
        <v>0</v>
      </c>
    </row>
    <row r="14" spans="1:11" ht="13.5" thickBot="1" x14ac:dyDescent="0.25">
      <c r="A14" s="77" t="s">
        <v>76</v>
      </c>
      <c r="F14" s="130" t="s">
        <v>179</v>
      </c>
      <c r="G14" s="131">
        <f>D11</f>
        <v>0</v>
      </c>
      <c r="H14" s="131">
        <f>D25</f>
        <v>0</v>
      </c>
      <c r="I14" s="131">
        <f>D34</f>
        <v>0</v>
      </c>
      <c r="J14" s="131">
        <f>D47</f>
        <v>0</v>
      </c>
      <c r="K14" s="129"/>
    </row>
    <row r="15" spans="1:11" ht="13.5" thickBot="1" x14ac:dyDescent="0.25">
      <c r="A15" s="77" t="s">
        <v>77</v>
      </c>
      <c r="F15" s="132" t="s">
        <v>181</v>
      </c>
      <c r="G15" s="133"/>
      <c r="H15" s="133"/>
      <c r="I15" s="133"/>
      <c r="J15" s="133"/>
      <c r="K15" s="134">
        <f>K13/168</f>
        <v>0</v>
      </c>
    </row>
    <row r="16" spans="1:11" x14ac:dyDescent="0.2">
      <c r="A16" s="77" t="s">
        <v>78</v>
      </c>
    </row>
    <row r="17" spans="1:4" x14ac:dyDescent="0.2">
      <c r="A17" s="77" t="s">
        <v>79</v>
      </c>
    </row>
    <row r="18" spans="1:4" x14ac:dyDescent="0.2">
      <c r="A18" s="77" t="s">
        <v>80</v>
      </c>
    </row>
    <row r="19" spans="1:4" x14ac:dyDescent="0.2">
      <c r="A19" s="77" t="s">
        <v>81</v>
      </c>
    </row>
    <row r="20" spans="1:4" x14ac:dyDescent="0.2">
      <c r="A20" s="77" t="s">
        <v>82</v>
      </c>
    </row>
    <row r="21" spans="1:4" x14ac:dyDescent="0.2">
      <c r="A21" s="77" t="s">
        <v>121</v>
      </c>
    </row>
    <row r="22" spans="1:4" x14ac:dyDescent="0.2">
      <c r="A22" s="77" t="s">
        <v>122</v>
      </c>
    </row>
    <row r="23" spans="1:4" x14ac:dyDescent="0.2">
      <c r="A23" s="77" t="s">
        <v>123</v>
      </c>
    </row>
    <row r="24" spans="1:4" x14ac:dyDescent="0.2">
      <c r="A24" s="77" t="s">
        <v>124</v>
      </c>
    </row>
    <row r="25" spans="1:4" x14ac:dyDescent="0.2">
      <c r="A25" s="78" t="s">
        <v>70</v>
      </c>
      <c r="B25" s="78" t="e">
        <f>AVERAGE(B12:B24)</f>
        <v>#DIV/0!</v>
      </c>
      <c r="C25" s="79">
        <f>B12+B13+B14+B15+B16+B17+B18+B19+B20+B21+B22+B23+B24</f>
        <v>0</v>
      </c>
      <c r="D25" s="128">
        <f>C25/52</f>
        <v>0</v>
      </c>
    </row>
    <row r="26" spans="1:4" x14ac:dyDescent="0.2">
      <c r="A26" s="77" t="s">
        <v>125</v>
      </c>
    </row>
    <row r="27" spans="1:4" x14ac:dyDescent="0.2">
      <c r="A27" s="77" t="s">
        <v>126</v>
      </c>
    </row>
    <row r="28" spans="1:4" x14ac:dyDescent="0.2">
      <c r="A28" s="77" t="s">
        <v>127</v>
      </c>
    </row>
    <row r="29" spans="1:4" x14ac:dyDescent="0.2">
      <c r="A29" s="77" t="s">
        <v>128</v>
      </c>
    </row>
    <row r="30" spans="1:4" x14ac:dyDescent="0.2">
      <c r="A30" s="77" t="s">
        <v>129</v>
      </c>
    </row>
    <row r="31" spans="1:4" x14ac:dyDescent="0.2">
      <c r="A31" s="77" t="s">
        <v>130</v>
      </c>
    </row>
    <row r="32" spans="1:4" x14ac:dyDescent="0.2">
      <c r="A32" s="77" t="s">
        <v>131</v>
      </c>
    </row>
    <row r="33" spans="1:4" x14ac:dyDescent="0.2">
      <c r="A33" s="77" t="s">
        <v>132</v>
      </c>
    </row>
    <row r="34" spans="1:4" x14ac:dyDescent="0.2">
      <c r="A34" s="78" t="s">
        <v>70</v>
      </c>
      <c r="B34" s="78" t="e">
        <f>AVERAGE(B26:B33)</f>
        <v>#DIV/0!</v>
      </c>
      <c r="C34" s="79">
        <f>B26+B27+B28+B29+B30+B31+B32+B33</f>
        <v>0</v>
      </c>
      <c r="D34" s="128">
        <f>C34/32</f>
        <v>0</v>
      </c>
    </row>
    <row r="35" spans="1:4" x14ac:dyDescent="0.2">
      <c r="A35" s="77" t="s">
        <v>109</v>
      </c>
    </row>
    <row r="36" spans="1:4" x14ac:dyDescent="0.2">
      <c r="A36" s="77" t="s">
        <v>110</v>
      </c>
    </row>
    <row r="37" spans="1:4" x14ac:dyDescent="0.2">
      <c r="A37" s="77" t="s">
        <v>111</v>
      </c>
    </row>
    <row r="38" spans="1:4" x14ac:dyDescent="0.2">
      <c r="A38" s="77" t="s">
        <v>112</v>
      </c>
    </row>
    <row r="39" spans="1:4" x14ac:dyDescent="0.2">
      <c r="A39" s="77" t="s">
        <v>113</v>
      </c>
    </row>
    <row r="40" spans="1:4" x14ac:dyDescent="0.2">
      <c r="A40" s="77" t="s">
        <v>114</v>
      </c>
    </row>
    <row r="41" spans="1:4" x14ac:dyDescent="0.2">
      <c r="A41" s="77" t="s">
        <v>115</v>
      </c>
    </row>
    <row r="42" spans="1:4" x14ac:dyDescent="0.2">
      <c r="A42" s="77" t="s">
        <v>116</v>
      </c>
    </row>
    <row r="43" spans="1:4" x14ac:dyDescent="0.2">
      <c r="A43" s="77" t="s">
        <v>117</v>
      </c>
    </row>
    <row r="44" spans="1:4" x14ac:dyDescent="0.2">
      <c r="A44" s="77" t="s">
        <v>118</v>
      </c>
    </row>
    <row r="45" spans="1:4" x14ac:dyDescent="0.2">
      <c r="A45" s="77" t="s">
        <v>119</v>
      </c>
    </row>
    <row r="46" spans="1:4" x14ac:dyDescent="0.2">
      <c r="A46" s="77" t="s">
        <v>120</v>
      </c>
    </row>
    <row r="47" spans="1:4" x14ac:dyDescent="0.2">
      <c r="A47" s="78" t="s">
        <v>70</v>
      </c>
      <c r="B47" s="78" t="e">
        <f>AVERAGE(B35:B46)</f>
        <v>#DIV/0!</v>
      </c>
      <c r="C47" s="79">
        <f>B35+B36+B37+B38+B39+B40+B41+B42+B43+B44+B45+B46</f>
        <v>0</v>
      </c>
      <c r="D47" s="128">
        <f>C47/48</f>
        <v>0</v>
      </c>
    </row>
  </sheetData>
  <printOptions gridLines="1"/>
  <pageMargins left="0.7" right="0.7" top="0.75" bottom="0.75" header="0.3" footer="0.3"/>
  <pageSetup paperSize="9" scale="83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8"/>
  <sheetViews>
    <sheetView workbookViewId="0">
      <selection activeCell="B2" sqref="B2"/>
    </sheetView>
  </sheetViews>
  <sheetFormatPr defaultRowHeight="12.75" x14ac:dyDescent="0.2"/>
  <cols>
    <col min="1" max="1" width="14" style="94" bestFit="1" customWidth="1"/>
    <col min="2" max="2" width="10.140625" bestFit="1" customWidth="1"/>
    <col min="4" max="4" width="11.85546875" bestFit="1" customWidth="1"/>
    <col min="9" max="9" width="24.140625" bestFit="1" customWidth="1"/>
    <col min="10" max="10" width="16.28515625" style="94" customWidth="1"/>
    <col min="11" max="11" width="13.140625" style="94" customWidth="1"/>
  </cols>
  <sheetData>
    <row r="1" spans="1:11" ht="15" x14ac:dyDescent="0.25">
      <c r="A1" s="91" t="s">
        <v>64</v>
      </c>
      <c r="B1" s="69" t="s">
        <v>65</v>
      </c>
      <c r="C1" s="69" t="s">
        <v>69</v>
      </c>
    </row>
    <row r="2" spans="1:11" x14ac:dyDescent="0.2">
      <c r="A2" s="92">
        <v>1</v>
      </c>
      <c r="B2" s="86"/>
      <c r="C2" s="86"/>
      <c r="D2" s="86"/>
      <c r="I2" s="100" t="s">
        <v>148</v>
      </c>
      <c r="J2" s="117" t="s">
        <v>147</v>
      </c>
      <c r="K2" s="117" t="s">
        <v>143</v>
      </c>
    </row>
    <row r="3" spans="1:11" x14ac:dyDescent="0.2">
      <c r="A3" s="92">
        <v>2</v>
      </c>
      <c r="B3" s="86"/>
      <c r="C3" s="86"/>
      <c r="D3" s="87" t="s">
        <v>140</v>
      </c>
      <c r="I3" s="90" t="s">
        <v>142</v>
      </c>
      <c r="J3" s="102">
        <v>0</v>
      </c>
      <c r="K3" s="93">
        <v>0</v>
      </c>
    </row>
    <row r="4" spans="1:11" x14ac:dyDescent="0.2">
      <c r="A4" s="92">
        <v>3</v>
      </c>
      <c r="B4" s="86"/>
      <c r="C4" s="86"/>
      <c r="D4" s="87" t="s">
        <v>141</v>
      </c>
      <c r="I4" s="90" t="s">
        <v>144</v>
      </c>
      <c r="J4" s="102">
        <v>1</v>
      </c>
      <c r="K4" s="93">
        <v>4</v>
      </c>
    </row>
    <row r="5" spans="1:11" x14ac:dyDescent="0.2">
      <c r="A5" s="92">
        <v>4</v>
      </c>
      <c r="B5" s="86"/>
      <c r="C5" s="86"/>
      <c r="D5" s="86"/>
      <c r="I5" s="90" t="s">
        <v>145</v>
      </c>
      <c r="J5" s="102">
        <v>2</v>
      </c>
      <c r="K5" s="93">
        <v>7</v>
      </c>
    </row>
    <row r="6" spans="1:11" x14ac:dyDescent="0.2">
      <c r="A6" s="92">
        <v>5</v>
      </c>
      <c r="B6" s="86"/>
      <c r="C6" s="86"/>
      <c r="D6" s="86"/>
      <c r="I6" s="90" t="s">
        <v>146</v>
      </c>
      <c r="J6" s="102">
        <v>3</v>
      </c>
      <c r="K6" s="93">
        <v>10</v>
      </c>
    </row>
    <row r="7" spans="1:11" x14ac:dyDescent="0.2">
      <c r="A7" s="92">
        <v>6</v>
      </c>
      <c r="B7" s="86"/>
      <c r="C7" s="86"/>
      <c r="D7" s="86"/>
    </row>
    <row r="8" spans="1:11" x14ac:dyDescent="0.2">
      <c r="A8" s="93">
        <v>7</v>
      </c>
      <c r="B8" s="89"/>
      <c r="C8" s="89">
        <f>LOOKUP(B8,Table5[#All])</f>
        <v>0</v>
      </c>
    </row>
    <row r="9" spans="1:11" x14ac:dyDescent="0.2">
      <c r="A9" s="97" t="s">
        <v>151</v>
      </c>
      <c r="B9" s="98"/>
      <c r="C9" s="98"/>
      <c r="I9" s="101" t="s">
        <v>171</v>
      </c>
      <c r="J9" s="116" t="s">
        <v>154</v>
      </c>
      <c r="K9" s="116" t="s">
        <v>155</v>
      </c>
    </row>
    <row r="10" spans="1:11" x14ac:dyDescent="0.2">
      <c r="A10" s="95" t="s">
        <v>152</v>
      </c>
      <c r="B10" s="96"/>
      <c r="C10" s="96">
        <f>LOOKUP(B10,Table7[#All])</f>
        <v>0</v>
      </c>
      <c r="I10" s="99" t="s">
        <v>156</v>
      </c>
      <c r="J10" s="103">
        <v>0</v>
      </c>
      <c r="K10" s="103">
        <v>0</v>
      </c>
    </row>
    <row r="11" spans="1:11" x14ac:dyDescent="0.2">
      <c r="A11" s="112" t="s">
        <v>153</v>
      </c>
      <c r="B11" s="113"/>
      <c r="C11" s="113">
        <f>LOOKUP(B11,Table8[#All])</f>
        <v>0</v>
      </c>
      <c r="I11" s="99" t="s">
        <v>158</v>
      </c>
      <c r="J11" s="103">
        <v>1</v>
      </c>
      <c r="K11" s="103">
        <v>7</v>
      </c>
    </row>
    <row r="12" spans="1:11" x14ac:dyDescent="0.2">
      <c r="A12" s="118" t="s">
        <v>139</v>
      </c>
      <c r="B12" s="78"/>
      <c r="C12" s="78">
        <f>SUM(C2:C11)</f>
        <v>0</v>
      </c>
      <c r="D12" s="78" t="s">
        <v>134</v>
      </c>
      <c r="I12" s="99" t="s">
        <v>157</v>
      </c>
      <c r="J12" s="103">
        <v>2</v>
      </c>
      <c r="K12" s="103">
        <v>14</v>
      </c>
    </row>
    <row r="13" spans="1:11" x14ac:dyDescent="0.2">
      <c r="I13" s="99" t="s">
        <v>159</v>
      </c>
      <c r="J13" s="103">
        <v>3</v>
      </c>
      <c r="K13" s="103">
        <v>21</v>
      </c>
    </row>
    <row r="14" spans="1:11" x14ac:dyDescent="0.2">
      <c r="I14" s="99" t="s">
        <v>160</v>
      </c>
      <c r="J14" s="103">
        <v>4</v>
      </c>
      <c r="K14" s="103">
        <v>30</v>
      </c>
    </row>
    <row r="15" spans="1:11" s="88" customFormat="1" x14ac:dyDescent="0.2">
      <c r="A15" s="104"/>
      <c r="I15" s="105"/>
      <c r="J15" s="104"/>
      <c r="K15" s="104"/>
    </row>
    <row r="16" spans="1:11" x14ac:dyDescent="0.2">
      <c r="I16" s="106" t="s">
        <v>172</v>
      </c>
      <c r="J16" s="115" t="s">
        <v>154</v>
      </c>
      <c r="K16" s="115" t="s">
        <v>155</v>
      </c>
    </row>
    <row r="17" spans="1:11" x14ac:dyDescent="0.2">
      <c r="I17" s="107" t="s">
        <v>161</v>
      </c>
      <c r="J17" s="108">
        <v>0</v>
      </c>
      <c r="K17" s="108">
        <v>0</v>
      </c>
    </row>
    <row r="18" spans="1:11" x14ac:dyDescent="0.2">
      <c r="I18" s="107" t="s">
        <v>162</v>
      </c>
      <c r="J18" s="108">
        <v>1</v>
      </c>
      <c r="K18" s="108">
        <v>4</v>
      </c>
    </row>
    <row r="19" spans="1:11" x14ac:dyDescent="0.2">
      <c r="I19" s="107" t="s">
        <v>163</v>
      </c>
      <c r="J19" s="108">
        <v>2</v>
      </c>
      <c r="K19" s="108">
        <v>10</v>
      </c>
    </row>
    <row r="20" spans="1:11" x14ac:dyDescent="0.2">
      <c r="I20" s="107" t="s">
        <v>164</v>
      </c>
      <c r="J20" s="108">
        <v>3</v>
      </c>
      <c r="K20" s="108">
        <v>14</v>
      </c>
    </row>
    <row r="21" spans="1:11" x14ac:dyDescent="0.2">
      <c r="I21" s="107" t="s">
        <v>165</v>
      </c>
      <c r="J21" s="108">
        <v>4</v>
      </c>
      <c r="K21" s="108">
        <v>20</v>
      </c>
    </row>
    <row r="22" spans="1:11" s="88" customFormat="1" x14ac:dyDescent="0.2">
      <c r="A22" s="104"/>
      <c r="I22" s="105"/>
      <c r="J22" s="104"/>
      <c r="K22" s="104"/>
    </row>
    <row r="23" spans="1:11" x14ac:dyDescent="0.2">
      <c r="I23" s="109" t="s">
        <v>173</v>
      </c>
      <c r="J23" s="114" t="s">
        <v>154</v>
      </c>
      <c r="K23" s="114" t="s">
        <v>155</v>
      </c>
    </row>
    <row r="24" spans="1:11" x14ac:dyDescent="0.2">
      <c r="I24" s="110" t="s">
        <v>166</v>
      </c>
      <c r="J24" s="111">
        <v>0</v>
      </c>
      <c r="K24" s="111">
        <v>0</v>
      </c>
    </row>
    <row r="25" spans="1:11" x14ac:dyDescent="0.2">
      <c r="I25" s="110" t="s">
        <v>167</v>
      </c>
      <c r="J25" s="111">
        <v>1</v>
      </c>
      <c r="K25" s="111">
        <v>2</v>
      </c>
    </row>
    <row r="26" spans="1:11" x14ac:dyDescent="0.2">
      <c r="I26" s="110" t="s">
        <v>168</v>
      </c>
      <c r="J26" s="111">
        <v>2</v>
      </c>
      <c r="K26" s="111">
        <v>5</v>
      </c>
    </row>
    <row r="27" spans="1:11" x14ac:dyDescent="0.2">
      <c r="I27" s="110" t="s">
        <v>169</v>
      </c>
      <c r="J27" s="111">
        <v>3</v>
      </c>
      <c r="K27" s="111">
        <v>7</v>
      </c>
    </row>
    <row r="28" spans="1:11" x14ac:dyDescent="0.2">
      <c r="I28" s="110" t="s">
        <v>170</v>
      </c>
      <c r="J28" s="111">
        <v>4</v>
      </c>
      <c r="K28" s="111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C21" sqref="C21"/>
    </sheetView>
  </sheetViews>
  <sheetFormatPr defaultRowHeight="12.75" x14ac:dyDescent="0.2"/>
  <cols>
    <col min="1" max="1" width="10.28515625" bestFit="1" customWidth="1"/>
    <col min="2" max="2" width="10.140625" bestFit="1" customWidth="1"/>
    <col min="3" max="3" width="11.42578125" bestFit="1" customWidth="1"/>
    <col min="5" max="5" width="11.140625" bestFit="1" customWidth="1"/>
  </cols>
  <sheetData>
    <row r="1" spans="1:5" ht="15" x14ac:dyDescent="0.25">
      <c r="A1" s="69" t="s">
        <v>64</v>
      </c>
      <c r="B1" s="69" t="s">
        <v>65</v>
      </c>
    </row>
    <row r="2" spans="1:5" x14ac:dyDescent="0.2">
      <c r="A2">
        <v>1</v>
      </c>
    </row>
    <row r="3" spans="1:5" x14ac:dyDescent="0.2">
      <c r="A3">
        <v>2</v>
      </c>
    </row>
    <row r="4" spans="1:5" x14ac:dyDescent="0.2">
      <c r="A4">
        <v>3</v>
      </c>
      <c r="E4" s="85" t="s">
        <v>140</v>
      </c>
    </row>
    <row r="5" spans="1:5" x14ac:dyDescent="0.2">
      <c r="A5">
        <v>4</v>
      </c>
      <c r="E5" s="85" t="s">
        <v>141</v>
      </c>
    </row>
    <row r="6" spans="1:5" x14ac:dyDescent="0.2">
      <c r="A6">
        <v>5</v>
      </c>
    </row>
    <row r="7" spans="1:5" x14ac:dyDescent="0.2">
      <c r="A7">
        <v>6</v>
      </c>
    </row>
    <row r="8" spans="1:5" x14ac:dyDescent="0.2">
      <c r="A8">
        <v>7</v>
      </c>
    </row>
    <row r="9" spans="1:5" x14ac:dyDescent="0.2">
      <c r="A9">
        <v>8</v>
      </c>
    </row>
    <row r="10" spans="1:5" x14ac:dyDescent="0.2">
      <c r="A10">
        <v>9</v>
      </c>
    </row>
    <row r="11" spans="1:5" x14ac:dyDescent="0.2">
      <c r="A11">
        <v>10</v>
      </c>
    </row>
    <row r="12" spans="1:5" ht="15" x14ac:dyDescent="0.25">
      <c r="A12" s="84" t="s">
        <v>69</v>
      </c>
      <c r="B12" s="84">
        <f>SUM(B2:B11)</f>
        <v>0</v>
      </c>
      <c r="C12" s="78" t="s">
        <v>134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MOXFQ CALC</vt:lpstr>
      <vt:lpstr>VAS</vt:lpstr>
      <vt:lpstr>TTO</vt:lpstr>
      <vt:lpstr>notes</vt:lpstr>
      <vt:lpstr>Charts</vt:lpstr>
      <vt:lpstr>AOS  COFAS</vt:lpstr>
      <vt:lpstr>AOFAS</vt:lpstr>
      <vt:lpstr>SAFAS</vt:lpstr>
      <vt:lpstr>VISA-A</vt:lpstr>
      <vt:lpstr>ATRS</vt:lpstr>
    </vt:vector>
  </TitlesOfParts>
  <Company>Covance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EQ-5D index Calculator</dc:title>
  <dc:creator>Agota Szende</dc:creator>
  <cp:lastModifiedBy>Anji Kingman</cp:lastModifiedBy>
  <cp:lastPrinted>2016-08-01T12:03:00Z</cp:lastPrinted>
  <dcterms:created xsi:type="dcterms:W3CDTF">2005-06-23T14:02:38Z</dcterms:created>
  <dcterms:modified xsi:type="dcterms:W3CDTF">2017-01-31T17:41:06Z</dcterms:modified>
</cp:coreProperties>
</file>